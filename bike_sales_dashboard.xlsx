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8_{1EB7E31B-BD19-4DF3-B4F8-C68D6D0A21C7}" xr6:coauthVersionLast="47" xr6:coauthVersionMax="47" xr10:uidLastSave="{00000000-0000-0000-0000-000000000000}"/>
  <bookViews>
    <workbookView xWindow="-108" yWindow="-108" windowWidth="23256" windowHeight="12456" activeTab="2" xr2:uid="{DCFC9812-812B-4FC4-AE37-E86262BC5F72}"/>
  </bookViews>
  <sheets>
    <sheet name="Sheet1" sheetId="1" r:id="rId1"/>
    <sheet name="Sheet3" sheetId="3" r:id="rId2"/>
    <sheet name="dashboard" sheetId="2" r:id="rId3"/>
  </sheets>
  <definedNames>
    <definedName name="Slicer_City">#N/A</definedName>
    <definedName name="Slicer_Commute_Type">#N/A</definedName>
    <definedName name="Slicer_Has_Car">#N/A</definedName>
    <definedName name="Slicer_Marital_Status">#N/A</definedName>
  </definedNames>
  <calcPr calcId="191029"/>
  <pivotCaches>
    <pivotCache cacheId="4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1" l="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14" i="1"/>
  <c r="D6" i="1"/>
  <c r="D7" i="1"/>
  <c r="D8" i="1"/>
  <c r="D9" i="1"/>
  <c r="D10" i="1"/>
  <c r="D11" i="1"/>
  <c r="D12" i="1"/>
  <c r="D13" i="1"/>
  <c r="D4" i="1"/>
  <c r="D3" i="1"/>
  <c r="D2" i="1"/>
  <c r="D5" i="1"/>
</calcChain>
</file>

<file path=xl/sharedStrings.xml><?xml version="1.0" encoding="utf-8"?>
<sst xmlns="http://schemas.openxmlformats.org/spreadsheetml/2006/main" count="593" uniqueCount="158">
  <si>
    <t>Customer ID</t>
  </si>
  <si>
    <t>Name</t>
  </si>
  <si>
    <t>Gender</t>
  </si>
  <si>
    <t>Age</t>
  </si>
  <si>
    <t>Marital Status</t>
  </si>
  <si>
    <t>Education Level</t>
  </si>
  <si>
    <t>Occupation</t>
  </si>
  <si>
    <t>Annual Income (₹)</t>
  </si>
  <si>
    <t>Has Car</t>
  </si>
  <si>
    <t>City</t>
  </si>
  <si>
    <t>Commute Type</t>
  </si>
  <si>
    <t>Bike Purchased</t>
  </si>
  <si>
    <t>CUST0001</t>
  </si>
  <si>
    <t>Aarav Mehta</t>
  </si>
  <si>
    <t>Male</t>
  </si>
  <si>
    <t>Married</t>
  </si>
  <si>
    <t>Graduate</t>
  </si>
  <si>
    <t>Engineer</t>
  </si>
  <si>
    <t>Yes</t>
  </si>
  <si>
    <t>Delhi</t>
  </si>
  <si>
    <t>Bike</t>
  </si>
  <si>
    <t>Daily Commute</t>
  </si>
  <si>
    <t>CUST0002</t>
  </si>
  <si>
    <t>Diya Sharma</t>
  </si>
  <si>
    <t>Female</t>
  </si>
  <si>
    <t>Single</t>
  </si>
  <si>
    <t>Postgraduate</t>
  </si>
  <si>
    <t>Teacher</t>
  </si>
  <si>
    <t>No</t>
  </si>
  <si>
    <t>Mumbai</t>
  </si>
  <si>
    <t>Public Transport</t>
  </si>
  <si>
    <t>Cost Saving</t>
  </si>
  <si>
    <t>CUST0003</t>
  </si>
  <si>
    <t>Rohan Patel</t>
  </si>
  <si>
    <t>Bachelor</t>
  </si>
  <si>
    <t>Business Owner</t>
  </si>
  <si>
    <t>Bangalore</t>
  </si>
  <si>
    <t>Car</t>
  </si>
  <si>
    <t>Leisure</t>
  </si>
  <si>
    <t>CUST0004</t>
  </si>
  <si>
    <t>Meera Joshi</t>
  </si>
  <si>
    <t>IT Professional</t>
  </si>
  <si>
    <t>Pune</t>
  </si>
  <si>
    <t>CUST0005</t>
  </si>
  <si>
    <t>Kabir Desai</t>
  </si>
  <si>
    <t>Student</t>
  </si>
  <si>
    <t>Chennai</t>
  </si>
  <si>
    <t>Adventure</t>
  </si>
  <si>
    <t>CUST0006</t>
  </si>
  <si>
    <t>Nisha Iyer</t>
  </si>
  <si>
    <t>Doctor</t>
  </si>
  <si>
    <t>Hyderabad</t>
  </si>
  <si>
    <t>CUST0007</t>
  </si>
  <si>
    <t>Aditya Singh</t>
  </si>
  <si>
    <t>Sales Executive</t>
  </si>
  <si>
    <t>CUST0008</t>
  </si>
  <si>
    <t>Ananya Verma</t>
  </si>
  <si>
    <t>CUST0009</t>
  </si>
  <si>
    <t>Arjun Nair</t>
  </si>
  <si>
    <t>Government Employee</t>
  </si>
  <si>
    <t>Family Use</t>
  </si>
  <si>
    <t>CUST0010</t>
  </si>
  <si>
    <t>Sneha Kapoor</t>
  </si>
  <si>
    <t>Ahmedabad</t>
  </si>
  <si>
    <t>CUST0011</t>
  </si>
  <si>
    <t>Raj Joshi</t>
  </si>
  <si>
    <t>CUST0012</t>
  </si>
  <si>
    <t>Simran Patel</t>
  </si>
  <si>
    <t>CUST0013</t>
  </si>
  <si>
    <t>Vikram Sharma</t>
  </si>
  <si>
    <t>CUST0014</t>
  </si>
  <si>
    <t>Pooja Mehta</t>
  </si>
  <si>
    <t>CUST0015</t>
  </si>
  <si>
    <t>Isha Nair</t>
  </si>
  <si>
    <t>CUST0016</t>
  </si>
  <si>
    <t>Rahul Verma</t>
  </si>
  <si>
    <t>CUST0017</t>
  </si>
  <si>
    <t>Priya Desai</t>
  </si>
  <si>
    <t>CUST0018</t>
  </si>
  <si>
    <t>Dev Singh</t>
  </si>
  <si>
    <t>High School</t>
  </si>
  <si>
    <t>CUST0019</t>
  </si>
  <si>
    <t>Aisha Kapoor</t>
  </si>
  <si>
    <t>CUST0020</t>
  </si>
  <si>
    <t>Manish Joshi</t>
  </si>
  <si>
    <t>CUST0021</t>
  </si>
  <si>
    <t>CUST0022</t>
  </si>
  <si>
    <t>Arjun Mehta</t>
  </si>
  <si>
    <t>CUST0023</t>
  </si>
  <si>
    <t>Sneha Singh</t>
  </si>
  <si>
    <t>CUST0024</t>
  </si>
  <si>
    <t>Rohan Desai</t>
  </si>
  <si>
    <t>CUST0025</t>
  </si>
  <si>
    <t>Nisha Patel</t>
  </si>
  <si>
    <t>CUST0026</t>
  </si>
  <si>
    <t>Arav Sharma</t>
  </si>
  <si>
    <t>Marketing Executive</t>
  </si>
  <si>
    <t>CUST0027</t>
  </si>
  <si>
    <t>Megha Iyer</t>
  </si>
  <si>
    <t>CUST0028</t>
  </si>
  <si>
    <t>Kunal Patel</t>
  </si>
  <si>
    <t>CUST0029</t>
  </si>
  <si>
    <t>Tanya Desai</t>
  </si>
  <si>
    <t>CUST0030</t>
  </si>
  <si>
    <t>Varun Mehta</t>
  </si>
  <si>
    <t>Manager</t>
  </si>
  <si>
    <t>CUST0031</t>
  </si>
  <si>
    <t>Shruti Joshi</t>
  </si>
  <si>
    <t>CUST0032</t>
  </si>
  <si>
    <t>Aryan Singh</t>
  </si>
  <si>
    <t>CUST0033</t>
  </si>
  <si>
    <t>Neha Kapoor</t>
  </si>
  <si>
    <t>CUST0034</t>
  </si>
  <si>
    <t>Rajesh Verma</t>
  </si>
  <si>
    <t>CUST0035</t>
  </si>
  <si>
    <t>Anjali Nair</t>
  </si>
  <si>
    <t>CUST0036</t>
  </si>
  <si>
    <t>Karan Desai</t>
  </si>
  <si>
    <t>CUST0037</t>
  </si>
  <si>
    <t>Ritika Sharma</t>
  </si>
  <si>
    <t>CUST0038</t>
  </si>
  <si>
    <t>Manav Iyer</t>
  </si>
  <si>
    <t>CUST0039</t>
  </si>
  <si>
    <t>Avni Joshi</t>
  </si>
  <si>
    <t>CUST0040</t>
  </si>
  <si>
    <t>Sameer Patel</t>
  </si>
  <si>
    <t>CUST0041</t>
  </si>
  <si>
    <t>Priya Sharma</t>
  </si>
  <si>
    <t>CUST0042</t>
  </si>
  <si>
    <t>Rahul Mehta</t>
  </si>
  <si>
    <t>CUST0043</t>
  </si>
  <si>
    <t>Isha Verma</t>
  </si>
  <si>
    <t>CUST0044</t>
  </si>
  <si>
    <t>Deepak Nair</t>
  </si>
  <si>
    <t>CUST0045</t>
  </si>
  <si>
    <t>Aditi Desai</t>
  </si>
  <si>
    <t>CUST0046</t>
  </si>
  <si>
    <t>Vivek Sharma</t>
  </si>
  <si>
    <t>CUST0047</t>
  </si>
  <si>
    <t>Anaya Joshi</t>
  </si>
  <si>
    <t>CUST0048</t>
  </si>
  <si>
    <t>Aman Kapoor</t>
  </si>
  <si>
    <t>CUST0049</t>
  </si>
  <si>
    <t>Tara Mehta</t>
  </si>
  <si>
    <t>CUST0050</t>
  </si>
  <si>
    <t>Rehan Desai</t>
  </si>
  <si>
    <t>kids</t>
  </si>
  <si>
    <t xml:space="preserve">Distance </t>
  </si>
  <si>
    <t xml:space="preserve">Purpose </t>
  </si>
  <si>
    <t xml:space="preserve">age bracket </t>
  </si>
  <si>
    <t>Row Labels</t>
  </si>
  <si>
    <t>Grand Total</t>
  </si>
  <si>
    <t>Count of Bike Purchased</t>
  </si>
  <si>
    <t>Column Labels</t>
  </si>
  <si>
    <t>adult</t>
  </si>
  <si>
    <t>old</t>
  </si>
  <si>
    <t>young</t>
  </si>
  <si>
    <t xml:space="preserve">Bike purchase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</si>
</sst>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5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7</c:v>
                </c:pt>
                <c:pt idx="1">
                  <c:v>2</c:v>
                </c:pt>
              </c:numCache>
            </c:numRef>
          </c:val>
          <c:extLst>
            <c:ext xmlns:c16="http://schemas.microsoft.com/office/drawing/2014/chart" uri="{C3380CC4-5D6E-409C-BE32-E72D297353CC}">
              <c16:uniqueId val="{00000000-9CD7-450F-8456-16B4EE7B039B}"/>
            </c:ext>
          </c:extLst>
        </c:ser>
        <c:ser>
          <c:idx val="1"/>
          <c:order val="1"/>
          <c:tx>
            <c:strRef>
              <c:f>Sheet3!$C$3:$C$4</c:f>
              <c:strCache>
                <c:ptCount val="1"/>
                <c:pt idx="0">
                  <c:v>Yes</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18</c:v>
                </c:pt>
                <c:pt idx="1">
                  <c:v>23</c:v>
                </c:pt>
              </c:numCache>
            </c:numRef>
          </c:val>
          <c:extLst>
            <c:ext xmlns:c16="http://schemas.microsoft.com/office/drawing/2014/chart" uri="{C3380CC4-5D6E-409C-BE32-E72D297353CC}">
              <c16:uniqueId val="{0000000E-9CD7-450F-8456-16B4EE7B039B}"/>
            </c:ext>
          </c:extLst>
        </c:ser>
        <c:dLbls>
          <c:showLegendKey val="0"/>
          <c:showVal val="0"/>
          <c:showCatName val="0"/>
          <c:showSerName val="0"/>
          <c:showPercent val="0"/>
          <c:showBubbleSize val="0"/>
        </c:dLbls>
        <c:gapWidth val="219"/>
        <c:overlap val="-27"/>
        <c:axId val="925601807"/>
        <c:axId val="925598335"/>
      </c:barChart>
      <c:catAx>
        <c:axId val="9256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598335"/>
        <c:crosses val="autoZero"/>
        <c:auto val="1"/>
        <c:lblAlgn val="ctr"/>
        <c:lblOffset val="100"/>
        <c:noMultiLvlLbl val="0"/>
      </c:catAx>
      <c:valAx>
        <c:axId val="92559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Sheet3!$G$8:$G$9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Sheet3!$F$10:$F$13</c:f>
              <c:strCache>
                <c:ptCount val="3"/>
                <c:pt idx="0">
                  <c:v>adult</c:v>
                </c:pt>
                <c:pt idx="1">
                  <c:v>old</c:v>
                </c:pt>
                <c:pt idx="2">
                  <c:v>young</c:v>
                </c:pt>
              </c:strCache>
            </c:strRef>
          </c:cat>
          <c:val>
            <c:numRef>
              <c:f>Sheet3!$G$10:$G$13</c:f>
              <c:numCache>
                <c:formatCode>General</c:formatCode>
                <c:ptCount val="3"/>
                <c:pt idx="0">
                  <c:v>3</c:v>
                </c:pt>
                <c:pt idx="2">
                  <c:v>6</c:v>
                </c:pt>
              </c:numCache>
            </c:numRef>
          </c:val>
          <c:smooth val="0"/>
          <c:extLst>
            <c:ext xmlns:c16="http://schemas.microsoft.com/office/drawing/2014/chart" uri="{C3380CC4-5D6E-409C-BE32-E72D297353CC}">
              <c16:uniqueId val="{00000000-CE33-4D05-9797-55BA55838361}"/>
            </c:ext>
          </c:extLst>
        </c:ser>
        <c:ser>
          <c:idx val="1"/>
          <c:order val="1"/>
          <c:tx>
            <c:strRef>
              <c:f>Sheet3!$H$8:$H$9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Sheet3!$F$10:$F$13</c:f>
              <c:strCache>
                <c:ptCount val="3"/>
                <c:pt idx="0">
                  <c:v>adult</c:v>
                </c:pt>
                <c:pt idx="1">
                  <c:v>old</c:v>
                </c:pt>
                <c:pt idx="2">
                  <c:v>young</c:v>
                </c:pt>
              </c:strCache>
            </c:strRef>
          </c:cat>
          <c:val>
            <c:numRef>
              <c:f>Sheet3!$H$10:$H$13</c:f>
              <c:numCache>
                <c:formatCode>General</c:formatCode>
                <c:ptCount val="3"/>
                <c:pt idx="0">
                  <c:v>26</c:v>
                </c:pt>
                <c:pt idx="1">
                  <c:v>15</c:v>
                </c:pt>
              </c:numCache>
            </c:numRef>
          </c:val>
          <c:smooth val="0"/>
          <c:extLst>
            <c:ext xmlns:c16="http://schemas.microsoft.com/office/drawing/2014/chart" uri="{C3380CC4-5D6E-409C-BE32-E72D297353CC}">
              <c16:uniqueId val="{0000000E-CE33-4D05-9797-55BA55838361}"/>
            </c:ext>
          </c:extLst>
        </c:ser>
        <c:dLbls>
          <c:showLegendKey val="0"/>
          <c:showVal val="0"/>
          <c:showCatName val="0"/>
          <c:showSerName val="0"/>
          <c:showPercent val="0"/>
          <c:showBubbleSize val="0"/>
        </c:dLbls>
        <c:marker val="1"/>
        <c:smooth val="0"/>
        <c:axId val="1134130031"/>
        <c:axId val="1134131519"/>
      </c:lineChart>
      <c:catAx>
        <c:axId val="11341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31519"/>
        <c:crosses val="autoZero"/>
        <c:auto val="1"/>
        <c:lblAlgn val="ctr"/>
        <c:lblOffset val="100"/>
        <c:noMultiLvlLbl val="0"/>
      </c:catAx>
      <c:valAx>
        <c:axId val="113413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Sheet3!$B$18:$B$19</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cat>
            <c:strRef>
              <c:f>Sheet3!$A$20:$A$38</c:f>
              <c:strCach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22</c:v>
                </c:pt>
              </c:strCache>
            </c:strRef>
          </c:cat>
          <c:val>
            <c:numRef>
              <c:f>Sheet3!$B$20:$B$38</c:f>
              <c:numCache>
                <c:formatCode>General</c:formatCode>
                <c:ptCount val="18"/>
                <c:pt idx="0">
                  <c:v>1</c:v>
                </c:pt>
                <c:pt idx="1">
                  <c:v>3</c:v>
                </c:pt>
                <c:pt idx="2">
                  <c:v>2</c:v>
                </c:pt>
                <c:pt idx="3">
                  <c:v>2</c:v>
                </c:pt>
                <c:pt idx="6">
                  <c:v>1</c:v>
                </c:pt>
              </c:numCache>
            </c:numRef>
          </c:val>
          <c:extLst>
            <c:ext xmlns:c16="http://schemas.microsoft.com/office/drawing/2014/chart" uri="{C3380CC4-5D6E-409C-BE32-E72D297353CC}">
              <c16:uniqueId val="{00000000-1EE8-49C3-A270-87B114EE582C}"/>
            </c:ext>
          </c:extLst>
        </c:ser>
        <c:ser>
          <c:idx val="1"/>
          <c:order val="1"/>
          <c:tx>
            <c:strRef>
              <c:f>Sheet3!$C$18:$C$19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cat>
            <c:strRef>
              <c:f>Sheet3!$A$20:$A$38</c:f>
              <c:strCach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22</c:v>
                </c:pt>
              </c:strCache>
            </c:strRef>
          </c:cat>
          <c:val>
            <c:numRef>
              <c:f>Sheet3!$C$20:$C$38</c:f>
              <c:numCache>
                <c:formatCode>General</c:formatCode>
                <c:ptCount val="18"/>
                <c:pt idx="3">
                  <c:v>1</c:v>
                </c:pt>
                <c:pt idx="4">
                  <c:v>3</c:v>
                </c:pt>
                <c:pt idx="5">
                  <c:v>4</c:v>
                </c:pt>
                <c:pt idx="6">
                  <c:v>4</c:v>
                </c:pt>
                <c:pt idx="7">
                  <c:v>4</c:v>
                </c:pt>
                <c:pt idx="8">
                  <c:v>4</c:v>
                </c:pt>
                <c:pt idx="9">
                  <c:v>2</c:v>
                </c:pt>
                <c:pt idx="10">
                  <c:v>3</c:v>
                </c:pt>
                <c:pt idx="11">
                  <c:v>2</c:v>
                </c:pt>
                <c:pt idx="12">
                  <c:v>2</c:v>
                </c:pt>
                <c:pt idx="13">
                  <c:v>1</c:v>
                </c:pt>
                <c:pt idx="14">
                  <c:v>4</c:v>
                </c:pt>
                <c:pt idx="15">
                  <c:v>2</c:v>
                </c:pt>
                <c:pt idx="16">
                  <c:v>3</c:v>
                </c:pt>
                <c:pt idx="17">
                  <c:v>2</c:v>
                </c:pt>
              </c:numCache>
            </c:numRef>
          </c:val>
          <c:extLst>
            <c:ext xmlns:c16="http://schemas.microsoft.com/office/drawing/2014/chart" uri="{C3380CC4-5D6E-409C-BE32-E72D297353CC}">
              <c16:uniqueId val="{0000000E-1EE8-49C3-A270-87B114EE58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7</c:v>
                </c:pt>
                <c:pt idx="1">
                  <c:v>2</c:v>
                </c:pt>
              </c:numCache>
            </c:numRef>
          </c:val>
          <c:extLst>
            <c:ext xmlns:c16="http://schemas.microsoft.com/office/drawing/2014/chart" uri="{C3380CC4-5D6E-409C-BE32-E72D297353CC}">
              <c16:uniqueId val="{00000000-58A0-4910-AF55-BD6F61A90049}"/>
            </c:ext>
          </c:extLst>
        </c:ser>
        <c:ser>
          <c:idx val="1"/>
          <c:order val="1"/>
          <c:tx>
            <c:strRef>
              <c:f>Sheet3!$C$3:$C$4</c:f>
              <c:strCache>
                <c:ptCount val="1"/>
                <c:pt idx="0">
                  <c:v>Yes</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18</c:v>
                </c:pt>
                <c:pt idx="1">
                  <c:v>23</c:v>
                </c:pt>
              </c:numCache>
            </c:numRef>
          </c:val>
          <c:extLst>
            <c:ext xmlns:c16="http://schemas.microsoft.com/office/drawing/2014/chart" uri="{C3380CC4-5D6E-409C-BE32-E72D297353CC}">
              <c16:uniqueId val="{0000000E-58A0-4910-AF55-BD6F61A90049}"/>
            </c:ext>
          </c:extLst>
        </c:ser>
        <c:dLbls>
          <c:showLegendKey val="0"/>
          <c:showVal val="0"/>
          <c:showCatName val="0"/>
          <c:showSerName val="0"/>
          <c:showPercent val="0"/>
          <c:showBubbleSize val="0"/>
        </c:dLbls>
        <c:gapWidth val="219"/>
        <c:overlap val="-27"/>
        <c:axId val="925601807"/>
        <c:axId val="925598335"/>
      </c:barChart>
      <c:catAx>
        <c:axId val="9256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598335"/>
        <c:crosses val="autoZero"/>
        <c:auto val="1"/>
        <c:lblAlgn val="ctr"/>
        <c:lblOffset val="100"/>
        <c:noMultiLvlLbl val="0"/>
      </c:catAx>
      <c:valAx>
        <c:axId val="92559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[dashboard.xlsx]Sheet3!PivotTable11</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Sheet3!$G$8:$G$9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Sheet3!$F$10:$F$13</c:f>
              <c:strCache>
                <c:ptCount val="3"/>
                <c:pt idx="0">
                  <c:v>adult</c:v>
                </c:pt>
                <c:pt idx="1">
                  <c:v>old</c:v>
                </c:pt>
                <c:pt idx="2">
                  <c:v>young</c:v>
                </c:pt>
              </c:strCache>
            </c:strRef>
          </c:cat>
          <c:val>
            <c:numRef>
              <c:f>Sheet3!$G$10:$G$13</c:f>
              <c:numCache>
                <c:formatCode>General</c:formatCode>
                <c:ptCount val="3"/>
                <c:pt idx="0">
                  <c:v>3</c:v>
                </c:pt>
                <c:pt idx="2">
                  <c:v>6</c:v>
                </c:pt>
              </c:numCache>
            </c:numRef>
          </c:val>
          <c:smooth val="0"/>
          <c:extLst>
            <c:ext xmlns:c16="http://schemas.microsoft.com/office/drawing/2014/chart" uri="{C3380CC4-5D6E-409C-BE32-E72D297353CC}">
              <c16:uniqueId val="{00000000-BDFF-43A7-93F5-96F5E5D94DBB}"/>
            </c:ext>
          </c:extLst>
        </c:ser>
        <c:ser>
          <c:idx val="1"/>
          <c:order val="1"/>
          <c:tx>
            <c:strRef>
              <c:f>Sheet3!$H$8:$H$9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Sheet3!$F$10:$F$13</c:f>
              <c:strCache>
                <c:ptCount val="3"/>
                <c:pt idx="0">
                  <c:v>adult</c:v>
                </c:pt>
                <c:pt idx="1">
                  <c:v>old</c:v>
                </c:pt>
                <c:pt idx="2">
                  <c:v>young</c:v>
                </c:pt>
              </c:strCache>
            </c:strRef>
          </c:cat>
          <c:val>
            <c:numRef>
              <c:f>Sheet3!$H$10:$H$13</c:f>
              <c:numCache>
                <c:formatCode>General</c:formatCode>
                <c:ptCount val="3"/>
                <c:pt idx="0">
                  <c:v>26</c:v>
                </c:pt>
                <c:pt idx="1">
                  <c:v>15</c:v>
                </c:pt>
              </c:numCache>
            </c:numRef>
          </c:val>
          <c:smooth val="0"/>
          <c:extLst>
            <c:ext xmlns:c16="http://schemas.microsoft.com/office/drawing/2014/chart" uri="{C3380CC4-5D6E-409C-BE32-E72D297353CC}">
              <c16:uniqueId val="{0000000E-BDFF-43A7-93F5-96F5E5D94DBB}"/>
            </c:ext>
          </c:extLst>
        </c:ser>
        <c:dLbls>
          <c:showLegendKey val="0"/>
          <c:showVal val="0"/>
          <c:showCatName val="0"/>
          <c:showSerName val="0"/>
          <c:showPercent val="0"/>
          <c:showBubbleSize val="0"/>
        </c:dLbls>
        <c:marker val="1"/>
        <c:smooth val="0"/>
        <c:axId val="1134130031"/>
        <c:axId val="1134131519"/>
      </c:lineChart>
      <c:catAx>
        <c:axId val="11341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31519"/>
        <c:crosses val="autoZero"/>
        <c:auto val="1"/>
        <c:lblAlgn val="ctr"/>
        <c:lblOffset val="100"/>
        <c:noMultiLvlLbl val="0"/>
      </c:catAx>
      <c:valAx>
        <c:axId val="113413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Sheet3!$B$18:$B$19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DD-4041-B922-115AA49536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DD-4041-B922-115AA49536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DD-4041-B922-115AA49536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DD-4041-B922-115AA49536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DD-4041-B922-115AA49536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DD-4041-B922-115AA49536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DD-4041-B922-115AA495361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DD-4041-B922-115AA495361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FDD-4041-B922-115AA495361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FDD-4041-B922-115AA495361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FDD-4041-B922-115AA495361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FDD-4041-B922-115AA495361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FDD-4041-B922-115AA495361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FDD-4041-B922-115AA495361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FDD-4041-B922-115AA495361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FDD-4041-B922-115AA495361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FDD-4041-B922-115AA495361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FDD-4041-B922-115AA495361B}"/>
              </c:ext>
            </c:extLst>
          </c:dPt>
          <c:cat>
            <c:strRef>
              <c:f>Sheet3!$A$20:$A$38</c:f>
              <c:strCach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22</c:v>
                </c:pt>
              </c:strCache>
            </c:strRef>
          </c:cat>
          <c:val>
            <c:numRef>
              <c:f>Sheet3!$B$20:$B$38</c:f>
              <c:numCache>
                <c:formatCode>General</c:formatCode>
                <c:ptCount val="18"/>
                <c:pt idx="0">
                  <c:v>1</c:v>
                </c:pt>
                <c:pt idx="1">
                  <c:v>3</c:v>
                </c:pt>
                <c:pt idx="2">
                  <c:v>2</c:v>
                </c:pt>
                <c:pt idx="3">
                  <c:v>2</c:v>
                </c:pt>
                <c:pt idx="6">
                  <c:v>1</c:v>
                </c:pt>
              </c:numCache>
            </c:numRef>
          </c:val>
          <c:extLst>
            <c:ext xmlns:c16="http://schemas.microsoft.com/office/drawing/2014/chart" uri="{C3380CC4-5D6E-409C-BE32-E72D297353CC}">
              <c16:uniqueId val="{00000024-5FDD-4041-B922-115AA495361B}"/>
            </c:ext>
          </c:extLst>
        </c:ser>
        <c:ser>
          <c:idx val="1"/>
          <c:order val="1"/>
          <c:tx>
            <c:strRef>
              <c:f>Sheet3!$C$18:$C$19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cat>
            <c:strRef>
              <c:f>Sheet3!$A$20:$A$38</c:f>
              <c:strCach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22</c:v>
                </c:pt>
              </c:strCache>
            </c:strRef>
          </c:cat>
          <c:val>
            <c:numRef>
              <c:f>Sheet3!$C$20:$C$38</c:f>
              <c:numCache>
                <c:formatCode>General</c:formatCode>
                <c:ptCount val="18"/>
                <c:pt idx="3">
                  <c:v>1</c:v>
                </c:pt>
                <c:pt idx="4">
                  <c:v>3</c:v>
                </c:pt>
                <c:pt idx="5">
                  <c:v>4</c:v>
                </c:pt>
                <c:pt idx="6">
                  <c:v>4</c:v>
                </c:pt>
                <c:pt idx="7">
                  <c:v>4</c:v>
                </c:pt>
                <c:pt idx="8">
                  <c:v>4</c:v>
                </c:pt>
                <c:pt idx="9">
                  <c:v>2</c:v>
                </c:pt>
                <c:pt idx="10">
                  <c:v>3</c:v>
                </c:pt>
                <c:pt idx="11">
                  <c:v>2</c:v>
                </c:pt>
                <c:pt idx="12">
                  <c:v>2</c:v>
                </c:pt>
                <c:pt idx="13">
                  <c:v>1</c:v>
                </c:pt>
                <c:pt idx="14">
                  <c:v>4</c:v>
                </c:pt>
                <c:pt idx="15">
                  <c:v>2</c:v>
                </c:pt>
                <c:pt idx="16">
                  <c:v>3</c:v>
                </c:pt>
                <c:pt idx="17">
                  <c:v>2</c:v>
                </c:pt>
              </c:numCache>
            </c:numRef>
          </c:val>
          <c:extLst>
            <c:ext xmlns:c16="http://schemas.microsoft.com/office/drawing/2014/chart" uri="{C3380CC4-5D6E-409C-BE32-E72D297353CC}">
              <c16:uniqueId val="{00000056-5FDD-4041-B922-115AA49536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76200</xdr:colOff>
      <xdr:row>0</xdr:row>
      <xdr:rowOff>0</xdr:rowOff>
    </xdr:from>
    <xdr:to>
      <xdr:col>16</xdr:col>
      <xdr:colOff>381000</xdr:colOff>
      <xdr:row>15</xdr:row>
      <xdr:rowOff>0</xdr:rowOff>
    </xdr:to>
    <xdr:graphicFrame macro="">
      <xdr:nvGraphicFramePr>
        <xdr:cNvPr id="2" name="Chart 1">
          <a:extLst>
            <a:ext uri="{FF2B5EF4-FFF2-40B4-BE49-F238E27FC236}">
              <a16:creationId xmlns:a16="http://schemas.microsoft.com/office/drawing/2014/main" id="{36C61E35-AF37-59DC-8DB5-36FA23029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853440</xdr:colOff>
      <xdr:row>16</xdr:row>
      <xdr:rowOff>0</xdr:rowOff>
    </xdr:from>
    <xdr:to>
      <xdr:col>14</xdr:col>
      <xdr:colOff>312420</xdr:colOff>
      <xdr:row>31</xdr:row>
      <xdr:rowOff>0</xdr:rowOff>
    </xdr:to>
    <xdr:graphicFrame macro="">
      <xdr:nvGraphicFramePr>
        <xdr:cNvPr id="3" name="Chart 2">
          <a:extLst>
            <a:ext uri="{FF2B5EF4-FFF2-40B4-BE49-F238E27FC236}">
              <a16:creationId xmlns:a16="http://schemas.microsoft.com/office/drawing/2014/main" id="{43FB51B6-C643-73AE-E143-7B0CBC6D4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327660</xdr:colOff>
      <xdr:row>31</xdr:row>
      <xdr:rowOff>99060</xdr:rowOff>
    </xdr:from>
    <xdr:to>
      <xdr:col>10</xdr:col>
      <xdr:colOff>114300</xdr:colOff>
      <xdr:row>46</xdr:row>
      <xdr:rowOff>99060</xdr:rowOff>
    </xdr:to>
    <xdr:graphicFrame macro="">
      <xdr:nvGraphicFramePr>
        <xdr:cNvPr id="4" name="Chart 3">
          <a:extLst>
            <a:ext uri="{FF2B5EF4-FFF2-40B4-BE49-F238E27FC236}">
              <a16:creationId xmlns:a16="http://schemas.microsoft.com/office/drawing/2014/main" id="{3E40377E-1C7E-4DD1-4F9D-04C87DE43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144379</xdr:colOff>
      <xdr:row>6</xdr:row>
      <xdr:rowOff>45720</xdr:rowOff>
    </xdr:from>
    <xdr:to>
      <xdr:col>10</xdr:col>
      <xdr:colOff>20453</xdr:colOff>
      <xdr:row>21</xdr:row>
      <xdr:rowOff>45720</xdr:rowOff>
    </xdr:to>
    <xdr:graphicFrame macro="">
      <xdr:nvGraphicFramePr>
        <xdr:cNvPr id="2" name="Chart 1">
          <a:extLst>
            <a:ext uri="{FF2B5EF4-FFF2-40B4-BE49-F238E27FC236}">
              <a16:creationId xmlns:a16="http://schemas.microsoft.com/office/drawing/2014/main" id="{A3953FFD-84FC-4E64-8521-DCA2E0A11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21</xdr:row>
      <xdr:rowOff>114300</xdr:rowOff>
    </xdr:from>
    <xdr:to>
      <xdr:col>16</xdr:col>
      <xdr:colOff>541020</xdr:colOff>
      <xdr:row>37</xdr:row>
      <xdr:rowOff>144780</xdr:rowOff>
    </xdr:to>
    <xdr:graphicFrame macro="">
      <xdr:nvGraphicFramePr>
        <xdr:cNvPr id="3" name="Chart 2">
          <a:extLst>
            <a:ext uri="{FF2B5EF4-FFF2-40B4-BE49-F238E27FC236}">
              <a16:creationId xmlns:a16="http://schemas.microsoft.com/office/drawing/2014/main" id="{7F8A6E10-0EDF-40C4-B093-4946F7D01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50934</xdr:colOff>
      <xdr:row>6</xdr:row>
      <xdr:rowOff>45721</xdr:rowOff>
    </xdr:from>
    <xdr:to>
      <xdr:col>16</xdr:col>
      <xdr:colOff>515754</xdr:colOff>
      <xdr:row>21</xdr:row>
      <xdr:rowOff>45721</xdr:rowOff>
    </xdr:to>
    <xdr:graphicFrame macro="">
      <xdr:nvGraphicFramePr>
        <xdr:cNvPr id="4" name="Chart 3">
          <a:extLst>
            <a:ext uri="{FF2B5EF4-FFF2-40B4-BE49-F238E27FC236}">
              <a16:creationId xmlns:a16="http://schemas.microsoft.com/office/drawing/2014/main" id="{65F74E3C-9E69-4388-865A-BDD849358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6</xdr:row>
      <xdr:rowOff>114301</xdr:rowOff>
    </xdr:from>
    <xdr:to>
      <xdr:col>3</xdr:col>
      <xdr:colOff>68580</xdr:colOff>
      <xdr:row>12</xdr:row>
      <xdr:rowOff>91441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36800D4-EC22-3A3A-3BF0-9072786476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8580" y="1213896"/>
              <a:ext cx="1823013" cy="1076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144781</xdr:rowOff>
    </xdr:from>
    <xdr:to>
      <xdr:col>3</xdr:col>
      <xdr:colOff>76200</xdr:colOff>
      <xdr:row>18</xdr:row>
      <xdr:rowOff>129541</xdr:rowOff>
    </xdr:to>
    <mc:AlternateContent xmlns:mc="http://schemas.openxmlformats.org/markup-compatibility/2006">
      <mc:Choice xmlns:a14="http://schemas.microsoft.com/office/drawing/2010/main" Requires="a14">
        <xdr:graphicFrame macro="">
          <xdr:nvGraphicFramePr>
            <xdr:cNvPr id="6" name="Has Car">
              <a:extLst>
                <a:ext uri="{FF2B5EF4-FFF2-40B4-BE49-F238E27FC236}">
                  <a16:creationId xmlns:a16="http://schemas.microsoft.com/office/drawing/2014/main" id="{465810C6-30A7-2DBF-8AF8-EFA92D6E8657}"/>
                </a:ext>
              </a:extLst>
            </xdr:cNvPr>
            <xdr:cNvGraphicFramePr/>
          </xdr:nvGraphicFramePr>
          <xdr:xfrm>
            <a:off x="0" y="0"/>
            <a:ext cx="0" cy="0"/>
          </xdr:xfrm>
          <a:graphic>
            <a:graphicData uri="http://schemas.microsoft.com/office/drawing/2010/slicer">
              <sle:slicer xmlns:sle="http://schemas.microsoft.com/office/drawing/2010/slicer" name="Has Car"/>
            </a:graphicData>
          </a:graphic>
        </xdr:graphicFrame>
      </mc:Choice>
      <mc:Fallback>
        <xdr:sp macro="" textlink="">
          <xdr:nvSpPr>
            <xdr:cNvPr id="0" name=""/>
            <xdr:cNvSpPr>
              <a:spLocks noTextEdit="1"/>
            </xdr:cNvSpPr>
          </xdr:nvSpPr>
          <xdr:spPr>
            <a:xfrm>
              <a:off x="76200" y="2343971"/>
              <a:ext cx="1823013" cy="1084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1</xdr:rowOff>
    </xdr:from>
    <xdr:to>
      <xdr:col>3</xdr:col>
      <xdr:colOff>76200</xdr:colOff>
      <xdr:row>31</xdr:row>
      <xdr:rowOff>83822</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98096658-8045-FB04-60FF-27EA6641849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200" y="3482052"/>
              <a:ext cx="1823013" cy="2283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31</xdr:row>
      <xdr:rowOff>144781</xdr:rowOff>
    </xdr:from>
    <xdr:to>
      <xdr:col>3</xdr:col>
      <xdr:colOff>76200</xdr:colOff>
      <xdr:row>37</xdr:row>
      <xdr:rowOff>167641</xdr:rowOff>
    </xdr:to>
    <mc:AlternateContent xmlns:mc="http://schemas.openxmlformats.org/markup-compatibility/2006">
      <mc:Choice xmlns:a14="http://schemas.microsoft.com/office/drawing/2010/main" Requires="a14">
        <xdr:graphicFrame macro="">
          <xdr:nvGraphicFramePr>
            <xdr:cNvPr id="8" name="Commute Type">
              <a:extLst>
                <a:ext uri="{FF2B5EF4-FFF2-40B4-BE49-F238E27FC236}">
                  <a16:creationId xmlns:a16="http://schemas.microsoft.com/office/drawing/2014/main" id="{346E5F22-DE8C-AB96-44A5-44AB63764635}"/>
                </a:ext>
              </a:extLst>
            </xdr:cNvPr>
            <xdr:cNvGraphicFramePr/>
          </xdr:nvGraphicFramePr>
          <xdr:xfrm>
            <a:off x="0" y="0"/>
            <a:ext cx="0" cy="0"/>
          </xdr:xfrm>
          <a:graphic>
            <a:graphicData uri="http://schemas.microsoft.com/office/drawing/2010/slicer">
              <sle:slicer xmlns:sle="http://schemas.microsoft.com/office/drawing/2010/slicer" name="Commute Type"/>
            </a:graphicData>
          </a:graphic>
        </xdr:graphicFrame>
      </mc:Choice>
      <mc:Fallback>
        <xdr:sp macro="" textlink="">
          <xdr:nvSpPr>
            <xdr:cNvPr id="0" name=""/>
            <xdr:cNvSpPr>
              <a:spLocks noTextEdit="1"/>
            </xdr:cNvSpPr>
          </xdr:nvSpPr>
          <xdr:spPr>
            <a:xfrm>
              <a:off x="76200" y="5826022"/>
              <a:ext cx="1823013" cy="1122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6.619777314816" createdVersion="8" refreshedVersion="8" minRefreshableVersion="3" recordCount="50" xr:uid="{912CEFF3-A047-4632-B2EF-10B5885F9881}">
  <cacheSource type="worksheet">
    <worksheetSource ref="A1:P27" sheet="dashboard"/>
  </cacheSource>
  <cacheFields count="16">
    <cacheField name="Customer ID" numFmtId="0">
      <sharedItems/>
    </cacheField>
    <cacheField name="Name" numFmtId="0">
      <sharedItems/>
    </cacheField>
    <cacheField name="Gender" numFmtId="0">
      <sharedItems count="2">
        <s v="Male"/>
        <s v="Female"/>
      </sharedItems>
    </cacheField>
    <cacheField name="age bracket " numFmtId="0">
      <sharedItems count="3">
        <s v="adult"/>
        <s v="old"/>
        <s v="young"/>
      </sharedItems>
    </cacheField>
    <cacheField name="Age" numFmtId="0">
      <sharedItems containsSemiMixedTypes="0" containsString="0" containsNumber="1" containsInteger="1" minValue="23" maxValue="47" count="23">
        <n v="32"/>
        <n v="27"/>
        <n v="45"/>
        <n v="29"/>
        <n v="23"/>
        <n v="35"/>
        <n v="28"/>
        <n v="31"/>
        <n v="40"/>
        <n v="26"/>
        <n v="30"/>
        <n v="38"/>
        <n v="44"/>
        <n v="24"/>
        <n v="33"/>
        <n v="36"/>
        <n v="47"/>
        <n v="25"/>
        <n v="42"/>
        <n v="34"/>
        <n v="39"/>
        <n v="37"/>
        <n v="41"/>
      </sharedItems>
    </cacheField>
    <cacheField name="Marital Status" numFmtId="0">
      <sharedItems count="2">
        <s v="Married"/>
        <s v="Single"/>
      </sharedItems>
    </cacheField>
    <cacheField name="Education Level" numFmtId="0">
      <sharedItems/>
    </cacheField>
    <cacheField name="Occupation" numFmtId="0">
      <sharedItems/>
    </cacheField>
    <cacheField name="Annual Income (₹)" numFmtId="0">
      <sharedItems containsSemiMixedTypes="0" containsString="0" containsNumber="1" containsInteger="1" minValue="300000" maxValue="2100000"/>
    </cacheField>
    <cacheField name="kids" numFmtId="0">
      <sharedItems containsSemiMixedTypes="0" containsString="0" containsNumber="1" containsInteger="1" minValue="0" maxValue="3"/>
    </cacheField>
    <cacheField name="Has Car" numFmtId="0">
      <sharedItems count="2">
        <s v="Yes"/>
        <s v="No"/>
      </sharedItems>
    </cacheField>
    <cacheField name="City" numFmtId="0">
      <sharedItems count="7">
        <s v="Delhi"/>
        <s v="Mumbai"/>
        <s v="Bangalore"/>
        <s v="Pune"/>
        <s v="Chennai"/>
        <s v="Hyderabad"/>
        <s v="Ahmedabad"/>
      </sharedItems>
    </cacheField>
    <cacheField name="Distance " numFmtId="0">
      <sharedItems containsSemiMixedTypes="0" containsString="0" containsNumber="1" containsInteger="1" minValue="4" maxValue="22" count="18">
        <n v="18"/>
        <n v="10"/>
        <n v="12"/>
        <n v="15"/>
        <n v="7"/>
        <n v="20"/>
        <n v="9"/>
        <n v="11"/>
        <n v="16"/>
        <n v="5"/>
        <n v="14"/>
        <n v="6"/>
        <n v="8"/>
        <n v="22"/>
        <n v="4"/>
        <n v="13"/>
        <n v="19"/>
        <n v="17"/>
      </sharedItems>
    </cacheField>
    <cacheField name="Commute Type" numFmtId="0">
      <sharedItems count="3">
        <s v="Bike"/>
        <s v="Public Transport"/>
        <s v="Car"/>
      </sharedItems>
    </cacheField>
    <cacheField name="Purpose " numFmtId="0">
      <sharedItems/>
    </cacheField>
    <cacheField name="Bike Purchased" numFmtId="0">
      <sharedItems count="2">
        <s v="Yes"/>
        <s v="No"/>
      </sharedItems>
    </cacheField>
  </cacheFields>
  <extLst>
    <ext xmlns:x14="http://schemas.microsoft.com/office/spreadsheetml/2009/9/main" uri="{725AE2AE-9491-48be-B2B4-4EB974FC3084}">
      <x14:pivotCacheDefinition pivotCacheId="1207689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UST0001"/>
    <s v="Aarav Mehta"/>
    <x v="0"/>
    <x v="0"/>
    <x v="0"/>
    <x v="0"/>
    <s v="Graduate"/>
    <s v="Engineer"/>
    <n v="950000"/>
    <n v="1"/>
    <x v="0"/>
    <x v="0"/>
    <x v="0"/>
    <x v="0"/>
    <s v="Daily Commute"/>
    <x v="0"/>
  </r>
  <r>
    <s v="CUST0002"/>
    <s v="Diya Sharma"/>
    <x v="1"/>
    <x v="0"/>
    <x v="1"/>
    <x v="1"/>
    <s v="Postgraduate"/>
    <s v="Teacher"/>
    <n v="720000"/>
    <n v="0"/>
    <x v="1"/>
    <x v="1"/>
    <x v="1"/>
    <x v="1"/>
    <s v="Cost Saving"/>
    <x v="1"/>
  </r>
  <r>
    <s v="CUST0003"/>
    <s v="Rohan Patel"/>
    <x v="0"/>
    <x v="1"/>
    <x v="2"/>
    <x v="0"/>
    <s v="Bachelor"/>
    <s v="Business Owner"/>
    <n v="1850000"/>
    <n v="2"/>
    <x v="0"/>
    <x v="2"/>
    <x v="2"/>
    <x v="2"/>
    <s v="Leisure"/>
    <x v="0"/>
  </r>
  <r>
    <s v="CUST0004"/>
    <s v="Meera Joshi"/>
    <x v="1"/>
    <x v="0"/>
    <x v="3"/>
    <x v="0"/>
    <s v="Graduate"/>
    <s v="IT Professional"/>
    <n v="1200000"/>
    <n v="1"/>
    <x v="0"/>
    <x v="3"/>
    <x v="3"/>
    <x v="0"/>
    <s v="Daily Commute"/>
    <x v="0"/>
  </r>
  <r>
    <s v="CUST0005"/>
    <s v="Kabir Desai"/>
    <x v="0"/>
    <x v="2"/>
    <x v="4"/>
    <x v="1"/>
    <s v="Graduate"/>
    <s v="Student"/>
    <n v="300000"/>
    <n v="0"/>
    <x v="1"/>
    <x v="4"/>
    <x v="4"/>
    <x v="1"/>
    <s v="Adventure"/>
    <x v="1"/>
  </r>
  <r>
    <s v="CUST0006"/>
    <s v="Nisha Iyer"/>
    <x v="1"/>
    <x v="0"/>
    <x v="5"/>
    <x v="0"/>
    <s v="Postgraduate"/>
    <s v="Doctor"/>
    <n v="2100000"/>
    <n v="2"/>
    <x v="0"/>
    <x v="5"/>
    <x v="5"/>
    <x v="2"/>
    <s v="Leisure"/>
    <x v="0"/>
  </r>
  <r>
    <s v="CUST0007"/>
    <s v="Aditya Singh"/>
    <x v="0"/>
    <x v="0"/>
    <x v="6"/>
    <x v="1"/>
    <s v="Graduate"/>
    <s v="Sales Executive"/>
    <n v="560000"/>
    <n v="0"/>
    <x v="1"/>
    <x v="1"/>
    <x v="6"/>
    <x v="0"/>
    <s v="Cost Saving"/>
    <x v="0"/>
  </r>
  <r>
    <s v="CUST0008"/>
    <s v="Ananya Verma"/>
    <x v="1"/>
    <x v="0"/>
    <x v="7"/>
    <x v="0"/>
    <s v="Graduate"/>
    <s v="Engineer"/>
    <n v="950000"/>
    <n v="1"/>
    <x v="0"/>
    <x v="0"/>
    <x v="7"/>
    <x v="0"/>
    <s v="Daily Commute"/>
    <x v="0"/>
  </r>
  <r>
    <s v="CUST0009"/>
    <s v="Arjun Nair"/>
    <x v="0"/>
    <x v="1"/>
    <x v="8"/>
    <x v="0"/>
    <s v="Postgraduate"/>
    <s v="Government Employee"/>
    <n v="1350000"/>
    <n v="2"/>
    <x v="0"/>
    <x v="2"/>
    <x v="8"/>
    <x v="2"/>
    <s v="Family Use"/>
    <x v="0"/>
  </r>
  <r>
    <s v="CUST0010"/>
    <s v="Sneha Kapoor"/>
    <x v="1"/>
    <x v="0"/>
    <x v="9"/>
    <x v="1"/>
    <s v="Graduate"/>
    <s v="Student"/>
    <n v="420000"/>
    <n v="0"/>
    <x v="1"/>
    <x v="6"/>
    <x v="9"/>
    <x v="1"/>
    <s v="Cost Saving"/>
    <x v="1"/>
  </r>
  <r>
    <s v="CUST0011"/>
    <s v="Raj Joshi"/>
    <x v="0"/>
    <x v="0"/>
    <x v="10"/>
    <x v="1"/>
    <s v="Graduate"/>
    <s v="IT Professional"/>
    <n v="850000"/>
    <n v="0"/>
    <x v="1"/>
    <x v="3"/>
    <x v="1"/>
    <x v="0"/>
    <s v="Daily Commute"/>
    <x v="0"/>
  </r>
  <r>
    <s v="CUST0012"/>
    <s v="Simran Patel"/>
    <x v="1"/>
    <x v="1"/>
    <x v="11"/>
    <x v="0"/>
    <s v="Postgraduate"/>
    <s v="Teacher"/>
    <n v="900000"/>
    <n v="1"/>
    <x v="0"/>
    <x v="0"/>
    <x v="10"/>
    <x v="2"/>
    <s v="Family Use"/>
    <x v="0"/>
  </r>
  <r>
    <s v="CUST0013"/>
    <s v="Vikram Sharma"/>
    <x v="0"/>
    <x v="1"/>
    <x v="12"/>
    <x v="0"/>
    <s v="Graduate"/>
    <s v="Business Owner"/>
    <n v="1600000"/>
    <n v="2"/>
    <x v="0"/>
    <x v="5"/>
    <x v="0"/>
    <x v="2"/>
    <s v="Leisure"/>
    <x v="0"/>
  </r>
  <r>
    <s v="CUST0014"/>
    <s v="Pooja Mehta"/>
    <x v="1"/>
    <x v="2"/>
    <x v="13"/>
    <x v="1"/>
    <s v="Graduate"/>
    <s v="Student"/>
    <n v="350000"/>
    <n v="0"/>
    <x v="1"/>
    <x v="2"/>
    <x v="11"/>
    <x v="1"/>
    <s v="Cost Saving"/>
    <x v="1"/>
  </r>
  <r>
    <s v="CUST0015"/>
    <s v="Isha Nair"/>
    <x v="1"/>
    <x v="0"/>
    <x v="14"/>
    <x v="0"/>
    <s v="Postgraduate"/>
    <s v="Doctor"/>
    <n v="1900000"/>
    <n v="1"/>
    <x v="0"/>
    <x v="4"/>
    <x v="6"/>
    <x v="2"/>
    <s v="Leisure"/>
    <x v="0"/>
  </r>
  <r>
    <s v="CUST0016"/>
    <s v="Rahul Verma"/>
    <x v="0"/>
    <x v="1"/>
    <x v="15"/>
    <x v="0"/>
    <s v="Graduate"/>
    <s v="Engineer"/>
    <n v="1100000"/>
    <n v="2"/>
    <x v="0"/>
    <x v="1"/>
    <x v="5"/>
    <x v="0"/>
    <s v="Daily Commute"/>
    <x v="0"/>
  </r>
  <r>
    <s v="CUST0017"/>
    <s v="Priya Desai"/>
    <x v="1"/>
    <x v="0"/>
    <x v="6"/>
    <x v="1"/>
    <s v="Graduate"/>
    <s v="Sales Executive"/>
    <n v="640000"/>
    <n v="0"/>
    <x v="1"/>
    <x v="3"/>
    <x v="12"/>
    <x v="0"/>
    <s v="Cost Saving"/>
    <x v="0"/>
  </r>
  <r>
    <s v="CUST0018"/>
    <s v="Dev Singh"/>
    <x v="0"/>
    <x v="1"/>
    <x v="16"/>
    <x v="0"/>
    <s v="High School"/>
    <s v="Government Employee"/>
    <n v="850000"/>
    <n v="2"/>
    <x v="0"/>
    <x v="0"/>
    <x v="13"/>
    <x v="2"/>
    <s v="Family Use"/>
    <x v="0"/>
  </r>
  <r>
    <s v="CUST0019"/>
    <s v="Aisha Kapoor"/>
    <x v="1"/>
    <x v="2"/>
    <x v="17"/>
    <x v="1"/>
    <s v="Graduate"/>
    <s v="Student"/>
    <n v="380000"/>
    <n v="0"/>
    <x v="1"/>
    <x v="4"/>
    <x v="14"/>
    <x v="1"/>
    <s v="Cost Saving"/>
    <x v="1"/>
  </r>
  <r>
    <s v="CUST0020"/>
    <s v="Manish Joshi"/>
    <x v="0"/>
    <x v="0"/>
    <x v="7"/>
    <x v="0"/>
    <s v="Postgraduate"/>
    <s v="IT Professional"/>
    <n v="980000"/>
    <n v="1"/>
    <x v="0"/>
    <x v="2"/>
    <x v="2"/>
    <x v="0"/>
    <s v="Daily Commute"/>
    <x v="0"/>
  </r>
  <r>
    <s v="CUST0021"/>
    <s v="Diya Sharma"/>
    <x v="1"/>
    <x v="0"/>
    <x v="3"/>
    <x v="0"/>
    <s v="Graduate"/>
    <s v="Engineer"/>
    <n v="940000"/>
    <n v="1"/>
    <x v="0"/>
    <x v="5"/>
    <x v="1"/>
    <x v="0"/>
    <s v="Daily Commute"/>
    <x v="0"/>
  </r>
  <r>
    <s v="CUST0022"/>
    <s v="Arjun Mehta"/>
    <x v="0"/>
    <x v="0"/>
    <x v="9"/>
    <x v="1"/>
    <s v="Graduate"/>
    <s v="Sales Executive"/>
    <n v="580000"/>
    <n v="0"/>
    <x v="1"/>
    <x v="3"/>
    <x v="4"/>
    <x v="0"/>
    <s v="Cost Saving"/>
    <x v="0"/>
  </r>
  <r>
    <s v="CUST0023"/>
    <s v="Sneha Singh"/>
    <x v="1"/>
    <x v="0"/>
    <x v="5"/>
    <x v="0"/>
    <s v="Postgraduate"/>
    <s v="Teacher"/>
    <n v="870000"/>
    <n v="2"/>
    <x v="0"/>
    <x v="0"/>
    <x v="15"/>
    <x v="2"/>
    <s v="Family Use"/>
    <x v="0"/>
  </r>
  <r>
    <s v="CUST0024"/>
    <s v="Rohan Desai"/>
    <x v="0"/>
    <x v="1"/>
    <x v="18"/>
    <x v="0"/>
    <s v="Graduate"/>
    <s v="Business Owner"/>
    <n v="1720000"/>
    <n v="2"/>
    <x v="0"/>
    <x v="1"/>
    <x v="16"/>
    <x v="2"/>
    <s v="Leisure"/>
    <x v="0"/>
  </r>
  <r>
    <s v="CUST0025"/>
    <s v="Nisha Patel"/>
    <x v="1"/>
    <x v="0"/>
    <x v="10"/>
    <x v="0"/>
    <s v="Graduate"/>
    <s v="Engineer"/>
    <n v="950000"/>
    <n v="1"/>
    <x v="0"/>
    <x v="4"/>
    <x v="7"/>
    <x v="0"/>
    <s v="Daily Commute"/>
    <x v="0"/>
  </r>
  <r>
    <s v="CUST0026"/>
    <s v="Arav Sharma"/>
    <x v="0"/>
    <x v="0"/>
    <x v="1"/>
    <x v="1"/>
    <s v="Graduate"/>
    <s v="Marketing Executive"/>
    <n v="620000"/>
    <n v="0"/>
    <x v="1"/>
    <x v="0"/>
    <x v="12"/>
    <x v="0"/>
    <s v="Cost Saving"/>
    <x v="0"/>
  </r>
  <r>
    <s v="CUST0027"/>
    <s v="Megha Iyer"/>
    <x v="1"/>
    <x v="0"/>
    <x v="19"/>
    <x v="0"/>
    <s v="Postgraduate"/>
    <s v="Doctor"/>
    <n v="1800000"/>
    <n v="1"/>
    <x v="0"/>
    <x v="2"/>
    <x v="3"/>
    <x v="2"/>
    <s v="Leisure"/>
    <x v="0"/>
  </r>
  <r>
    <s v="CUST0028"/>
    <s v="Kunal Patel"/>
    <x v="0"/>
    <x v="1"/>
    <x v="20"/>
    <x v="0"/>
    <s v="Graduate"/>
    <s v="Engineer"/>
    <n v="1200000"/>
    <n v="2"/>
    <x v="0"/>
    <x v="1"/>
    <x v="17"/>
    <x v="0"/>
    <s v="Daily Commute"/>
    <x v="0"/>
  </r>
  <r>
    <s v="CUST0029"/>
    <s v="Tanya Desai"/>
    <x v="1"/>
    <x v="2"/>
    <x v="17"/>
    <x v="1"/>
    <s v="Graduate"/>
    <s v="Student"/>
    <n v="370000"/>
    <n v="0"/>
    <x v="1"/>
    <x v="3"/>
    <x v="9"/>
    <x v="1"/>
    <s v="Cost Saving"/>
    <x v="1"/>
  </r>
  <r>
    <s v="CUST0030"/>
    <s v="Varun Mehta"/>
    <x v="0"/>
    <x v="0"/>
    <x v="7"/>
    <x v="0"/>
    <s v="Postgraduate"/>
    <s v="Manager"/>
    <n v="1350000"/>
    <n v="1"/>
    <x v="0"/>
    <x v="5"/>
    <x v="10"/>
    <x v="2"/>
    <s v="Leisure"/>
    <x v="0"/>
  </r>
  <r>
    <s v="CUST0031"/>
    <s v="Shruti Joshi"/>
    <x v="1"/>
    <x v="0"/>
    <x v="3"/>
    <x v="1"/>
    <s v="Graduate"/>
    <s v="IT Professional"/>
    <n v="890000"/>
    <n v="0"/>
    <x v="1"/>
    <x v="0"/>
    <x v="1"/>
    <x v="0"/>
    <s v="Daily Commute"/>
    <x v="0"/>
  </r>
  <r>
    <s v="CUST0032"/>
    <s v="Aryan Singh"/>
    <x v="0"/>
    <x v="1"/>
    <x v="18"/>
    <x v="0"/>
    <s v="Bachelor"/>
    <s v="Business Owner"/>
    <n v="1650000"/>
    <n v="2"/>
    <x v="0"/>
    <x v="1"/>
    <x v="0"/>
    <x v="2"/>
    <s v="Leisure"/>
    <x v="0"/>
  </r>
  <r>
    <s v="CUST0033"/>
    <s v="Neha Kapoor"/>
    <x v="1"/>
    <x v="1"/>
    <x v="21"/>
    <x v="0"/>
    <s v="Postgraduate"/>
    <s v="Teacher"/>
    <n v="950000"/>
    <n v="1"/>
    <x v="0"/>
    <x v="4"/>
    <x v="15"/>
    <x v="2"/>
    <s v="Family Use"/>
    <x v="0"/>
  </r>
  <r>
    <s v="CUST0034"/>
    <s v="Rajesh Verma"/>
    <x v="0"/>
    <x v="1"/>
    <x v="2"/>
    <x v="0"/>
    <s v="Graduate"/>
    <s v="Government Employee"/>
    <n v="1450000"/>
    <n v="3"/>
    <x v="0"/>
    <x v="0"/>
    <x v="13"/>
    <x v="2"/>
    <s v="Family Use"/>
    <x v="0"/>
  </r>
  <r>
    <s v="CUST0035"/>
    <s v="Anjali Nair"/>
    <x v="1"/>
    <x v="0"/>
    <x v="9"/>
    <x v="1"/>
    <s v="Graduate"/>
    <s v="Student"/>
    <n v="400000"/>
    <n v="0"/>
    <x v="1"/>
    <x v="2"/>
    <x v="11"/>
    <x v="1"/>
    <s v="Cost Saving"/>
    <x v="1"/>
  </r>
  <r>
    <s v="CUST0036"/>
    <s v="Karan Desai"/>
    <x v="0"/>
    <x v="0"/>
    <x v="0"/>
    <x v="0"/>
    <s v="Graduate"/>
    <s v="Engineer"/>
    <n v="980000"/>
    <n v="1"/>
    <x v="0"/>
    <x v="3"/>
    <x v="7"/>
    <x v="0"/>
    <s v="Daily Commute"/>
    <x v="0"/>
  </r>
  <r>
    <s v="CUST0037"/>
    <s v="Ritika Sharma"/>
    <x v="1"/>
    <x v="0"/>
    <x v="6"/>
    <x v="1"/>
    <s v="Graduate"/>
    <s v="Sales Executive"/>
    <n v="600000"/>
    <n v="0"/>
    <x v="1"/>
    <x v="0"/>
    <x v="6"/>
    <x v="0"/>
    <s v="Cost Saving"/>
    <x v="0"/>
  </r>
  <r>
    <s v="CUST0038"/>
    <s v="Manav Iyer"/>
    <x v="0"/>
    <x v="1"/>
    <x v="22"/>
    <x v="0"/>
    <s v="Postgraduate"/>
    <s v="Manager"/>
    <n v="1580000"/>
    <n v="2"/>
    <x v="0"/>
    <x v="1"/>
    <x v="5"/>
    <x v="2"/>
    <s v="Leisure"/>
    <x v="0"/>
  </r>
  <r>
    <s v="CUST0039"/>
    <s v="Avni Joshi"/>
    <x v="1"/>
    <x v="0"/>
    <x v="14"/>
    <x v="0"/>
    <s v="Postgraduate"/>
    <s v="Doctor"/>
    <n v="1950000"/>
    <n v="1"/>
    <x v="0"/>
    <x v="5"/>
    <x v="2"/>
    <x v="2"/>
    <s v="Leisure"/>
    <x v="0"/>
  </r>
  <r>
    <s v="CUST0040"/>
    <s v="Sameer Patel"/>
    <x v="0"/>
    <x v="2"/>
    <x v="17"/>
    <x v="1"/>
    <s v="Graduate"/>
    <s v="Student"/>
    <n v="370000"/>
    <n v="0"/>
    <x v="1"/>
    <x v="3"/>
    <x v="4"/>
    <x v="1"/>
    <s v="Adventure"/>
    <x v="1"/>
  </r>
  <r>
    <s v="CUST0041"/>
    <s v="Priya Sharma"/>
    <x v="1"/>
    <x v="1"/>
    <x v="15"/>
    <x v="0"/>
    <s v="Graduate"/>
    <s v="Teacher"/>
    <n v="820000"/>
    <n v="2"/>
    <x v="0"/>
    <x v="0"/>
    <x v="8"/>
    <x v="2"/>
    <s v="Family Use"/>
    <x v="0"/>
  </r>
  <r>
    <s v="CUST0042"/>
    <s v="Rahul Mehta"/>
    <x v="0"/>
    <x v="0"/>
    <x v="10"/>
    <x v="1"/>
    <s v="Graduate"/>
    <s v="IT Professional"/>
    <n v="940000"/>
    <n v="0"/>
    <x v="1"/>
    <x v="2"/>
    <x v="1"/>
    <x v="0"/>
    <s v="Daily Commute"/>
    <x v="0"/>
  </r>
  <r>
    <s v="CUST0043"/>
    <s v="Isha Verma"/>
    <x v="1"/>
    <x v="0"/>
    <x v="1"/>
    <x v="1"/>
    <s v="Graduate"/>
    <s v="Sales Executive"/>
    <n v="570000"/>
    <n v="0"/>
    <x v="1"/>
    <x v="1"/>
    <x v="12"/>
    <x v="0"/>
    <s v="Cost Saving"/>
    <x v="0"/>
  </r>
  <r>
    <s v="CUST0044"/>
    <s v="Deepak Nair"/>
    <x v="0"/>
    <x v="1"/>
    <x v="11"/>
    <x v="0"/>
    <s v="Graduate"/>
    <s v="Government Employee"/>
    <n v="1300000"/>
    <n v="2"/>
    <x v="0"/>
    <x v="5"/>
    <x v="0"/>
    <x v="2"/>
    <s v="Family Use"/>
    <x v="0"/>
  </r>
  <r>
    <s v="CUST0045"/>
    <s v="Aditi Desai"/>
    <x v="1"/>
    <x v="0"/>
    <x v="7"/>
    <x v="0"/>
    <s v="Graduate"/>
    <s v="Engineer"/>
    <n v="970000"/>
    <n v="1"/>
    <x v="0"/>
    <x v="0"/>
    <x v="7"/>
    <x v="0"/>
    <s v="Daily Commute"/>
    <x v="0"/>
  </r>
  <r>
    <s v="CUST0046"/>
    <s v="Vivek Sharma"/>
    <x v="0"/>
    <x v="0"/>
    <x v="5"/>
    <x v="0"/>
    <s v="Graduate"/>
    <s v="Engineer"/>
    <n v="1120000"/>
    <n v="2"/>
    <x v="0"/>
    <x v="4"/>
    <x v="10"/>
    <x v="0"/>
    <s v="Daily Commute"/>
    <x v="0"/>
  </r>
  <r>
    <s v="CUST0047"/>
    <s v="Anaya Joshi"/>
    <x v="1"/>
    <x v="2"/>
    <x v="13"/>
    <x v="1"/>
    <s v="Graduate"/>
    <s v="Student"/>
    <n v="360000"/>
    <n v="0"/>
    <x v="1"/>
    <x v="2"/>
    <x v="9"/>
    <x v="1"/>
    <s v="Cost Saving"/>
    <x v="1"/>
  </r>
  <r>
    <s v="CUST0048"/>
    <s v="Aman Kapoor"/>
    <x v="0"/>
    <x v="0"/>
    <x v="3"/>
    <x v="1"/>
    <s v="Graduate"/>
    <s v="Marketing Executive"/>
    <n v="610000"/>
    <n v="0"/>
    <x v="1"/>
    <x v="1"/>
    <x v="6"/>
    <x v="0"/>
    <s v="Cost Saving"/>
    <x v="0"/>
  </r>
  <r>
    <s v="CUST0049"/>
    <s v="Tara Mehta"/>
    <x v="1"/>
    <x v="1"/>
    <x v="8"/>
    <x v="0"/>
    <s v="Postgraduate"/>
    <s v="Teacher"/>
    <n v="970000"/>
    <n v="2"/>
    <x v="0"/>
    <x v="0"/>
    <x v="16"/>
    <x v="2"/>
    <s v="Family Use"/>
    <x v="0"/>
  </r>
  <r>
    <s v="CUST0050"/>
    <s v="Rehan Desai"/>
    <x v="0"/>
    <x v="0"/>
    <x v="19"/>
    <x v="0"/>
    <s v="Graduate"/>
    <s v="Engineer"/>
    <n v="990000"/>
    <n v="1"/>
    <x v="0"/>
    <x v="3"/>
    <x v="2"/>
    <x v="0"/>
    <s v="Daily Commut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D74D5-AA6B-4CCD-BEF3-46E44362BCD4}"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38" firstHeaderRow="1" firstDataRow="2" firstDataCol="1"/>
  <pivotFields count="16">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items count="8">
        <item x="6"/>
        <item x="2"/>
        <item x="4"/>
        <item x="0"/>
        <item x="5"/>
        <item x="1"/>
        <item x="3"/>
        <item t="default"/>
      </items>
    </pivotField>
    <pivotField axis="axisRow" showAll="0">
      <items count="19">
        <item x="14"/>
        <item x="9"/>
        <item x="11"/>
        <item x="4"/>
        <item x="12"/>
        <item x="6"/>
        <item x="1"/>
        <item x="7"/>
        <item x="2"/>
        <item x="15"/>
        <item x="10"/>
        <item x="3"/>
        <item x="8"/>
        <item x="17"/>
        <item x="0"/>
        <item x="16"/>
        <item x="5"/>
        <item x="13"/>
        <item t="default"/>
      </items>
    </pivotField>
    <pivotField showAll="0">
      <items count="4">
        <item x="0"/>
        <item x="2"/>
        <item x="1"/>
        <item t="default"/>
      </items>
    </pivotField>
    <pivotField showAll="0"/>
    <pivotField axis="axisCol" dataField="1" showAll="0">
      <items count="3">
        <item x="1"/>
        <item x="0"/>
        <item t="default"/>
      </items>
    </pivotField>
  </pivotFields>
  <rowFields count="1">
    <field x="12"/>
  </rowFields>
  <rowItems count="19">
    <i>
      <x/>
    </i>
    <i>
      <x v="1"/>
    </i>
    <i>
      <x v="2"/>
    </i>
    <i>
      <x v="3"/>
    </i>
    <i>
      <x v="4"/>
    </i>
    <i>
      <x v="5"/>
    </i>
    <i>
      <x v="6"/>
    </i>
    <i>
      <x v="7"/>
    </i>
    <i>
      <x v="8"/>
    </i>
    <i>
      <x v="9"/>
    </i>
    <i>
      <x v="10"/>
    </i>
    <i>
      <x v="11"/>
    </i>
    <i>
      <x v="12"/>
    </i>
    <i>
      <x v="13"/>
    </i>
    <i>
      <x v="14"/>
    </i>
    <i>
      <x v="15"/>
    </i>
    <i>
      <x v="16"/>
    </i>
    <i>
      <x v="17"/>
    </i>
    <i t="grand">
      <x/>
    </i>
  </rowItems>
  <colFields count="1">
    <field x="15"/>
  </colFields>
  <colItems count="3">
    <i>
      <x/>
    </i>
    <i>
      <x v="1"/>
    </i>
    <i t="grand">
      <x/>
    </i>
  </colItems>
  <dataFields count="1">
    <dataField name="Count of Bike Purchased" fld="15" subtotal="count" baseField="0" baseItem="0"/>
  </dataFields>
  <chartFormats count="4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0" series="1">
      <pivotArea type="data" outline="0" fieldPosition="0">
        <references count="2">
          <reference field="4294967294" count="1" selected="0">
            <x v="0"/>
          </reference>
          <reference field="15" count="1" selected="0">
            <x v="0"/>
          </reference>
        </references>
      </pivotArea>
    </chartFormat>
    <chartFormat chart="2" format="41">
      <pivotArea type="data" outline="0" fieldPosition="0">
        <references count="3">
          <reference field="4294967294" count="1" selected="0">
            <x v="0"/>
          </reference>
          <reference field="12" count="1" selected="0">
            <x v="0"/>
          </reference>
          <reference field="15" count="1" selected="0">
            <x v="0"/>
          </reference>
        </references>
      </pivotArea>
    </chartFormat>
    <chartFormat chart="2" format="42">
      <pivotArea type="data" outline="0" fieldPosition="0">
        <references count="3">
          <reference field="4294967294" count="1" selected="0">
            <x v="0"/>
          </reference>
          <reference field="12" count="1" selected="0">
            <x v="1"/>
          </reference>
          <reference field="15" count="1" selected="0">
            <x v="0"/>
          </reference>
        </references>
      </pivotArea>
    </chartFormat>
    <chartFormat chart="2" format="43">
      <pivotArea type="data" outline="0" fieldPosition="0">
        <references count="3">
          <reference field="4294967294" count="1" selected="0">
            <x v="0"/>
          </reference>
          <reference field="12" count="1" selected="0">
            <x v="2"/>
          </reference>
          <reference field="15" count="1" selected="0">
            <x v="0"/>
          </reference>
        </references>
      </pivotArea>
    </chartFormat>
    <chartFormat chart="2" format="44">
      <pivotArea type="data" outline="0" fieldPosition="0">
        <references count="3">
          <reference field="4294967294" count="1" selected="0">
            <x v="0"/>
          </reference>
          <reference field="12" count="1" selected="0">
            <x v="3"/>
          </reference>
          <reference field="15" count="1" selected="0">
            <x v="0"/>
          </reference>
        </references>
      </pivotArea>
    </chartFormat>
    <chartFormat chart="2" format="45">
      <pivotArea type="data" outline="0" fieldPosition="0">
        <references count="3">
          <reference field="4294967294" count="1" selected="0">
            <x v="0"/>
          </reference>
          <reference field="12" count="1" selected="0">
            <x v="4"/>
          </reference>
          <reference field="15" count="1" selected="0">
            <x v="0"/>
          </reference>
        </references>
      </pivotArea>
    </chartFormat>
    <chartFormat chart="2" format="46">
      <pivotArea type="data" outline="0" fieldPosition="0">
        <references count="3">
          <reference field="4294967294" count="1" selected="0">
            <x v="0"/>
          </reference>
          <reference field="12" count="1" selected="0">
            <x v="5"/>
          </reference>
          <reference field="15" count="1" selected="0">
            <x v="0"/>
          </reference>
        </references>
      </pivotArea>
    </chartFormat>
    <chartFormat chart="2" format="47">
      <pivotArea type="data" outline="0" fieldPosition="0">
        <references count="3">
          <reference field="4294967294" count="1" selected="0">
            <x v="0"/>
          </reference>
          <reference field="12" count="1" selected="0">
            <x v="6"/>
          </reference>
          <reference field="15" count="1" selected="0">
            <x v="0"/>
          </reference>
        </references>
      </pivotArea>
    </chartFormat>
    <chartFormat chart="2" format="48">
      <pivotArea type="data" outline="0" fieldPosition="0">
        <references count="3">
          <reference field="4294967294" count="1" selected="0">
            <x v="0"/>
          </reference>
          <reference field="12" count="1" selected="0">
            <x v="7"/>
          </reference>
          <reference field="15" count="1" selected="0">
            <x v="0"/>
          </reference>
        </references>
      </pivotArea>
    </chartFormat>
    <chartFormat chart="2" format="49">
      <pivotArea type="data" outline="0" fieldPosition="0">
        <references count="3">
          <reference field="4294967294" count="1" selected="0">
            <x v="0"/>
          </reference>
          <reference field="12" count="1" selected="0">
            <x v="8"/>
          </reference>
          <reference field="15" count="1" selected="0">
            <x v="0"/>
          </reference>
        </references>
      </pivotArea>
    </chartFormat>
    <chartFormat chart="2" format="50">
      <pivotArea type="data" outline="0" fieldPosition="0">
        <references count="3">
          <reference field="4294967294" count="1" selected="0">
            <x v="0"/>
          </reference>
          <reference field="12" count="1" selected="0">
            <x v="9"/>
          </reference>
          <reference field="15" count="1" selected="0">
            <x v="0"/>
          </reference>
        </references>
      </pivotArea>
    </chartFormat>
    <chartFormat chart="2" format="51">
      <pivotArea type="data" outline="0" fieldPosition="0">
        <references count="3">
          <reference field="4294967294" count="1" selected="0">
            <x v="0"/>
          </reference>
          <reference field="12" count="1" selected="0">
            <x v="10"/>
          </reference>
          <reference field="15" count="1" selected="0">
            <x v="0"/>
          </reference>
        </references>
      </pivotArea>
    </chartFormat>
    <chartFormat chart="2" format="52">
      <pivotArea type="data" outline="0" fieldPosition="0">
        <references count="3">
          <reference field="4294967294" count="1" selected="0">
            <x v="0"/>
          </reference>
          <reference field="12" count="1" selected="0">
            <x v="11"/>
          </reference>
          <reference field="15" count="1" selected="0">
            <x v="0"/>
          </reference>
        </references>
      </pivotArea>
    </chartFormat>
    <chartFormat chart="2" format="53">
      <pivotArea type="data" outline="0" fieldPosition="0">
        <references count="3">
          <reference field="4294967294" count="1" selected="0">
            <x v="0"/>
          </reference>
          <reference field="12" count="1" selected="0">
            <x v="12"/>
          </reference>
          <reference field="15" count="1" selected="0">
            <x v="0"/>
          </reference>
        </references>
      </pivotArea>
    </chartFormat>
    <chartFormat chart="2" format="54">
      <pivotArea type="data" outline="0" fieldPosition="0">
        <references count="3">
          <reference field="4294967294" count="1" selected="0">
            <x v="0"/>
          </reference>
          <reference field="12" count="1" selected="0">
            <x v="13"/>
          </reference>
          <reference field="15" count="1" selected="0">
            <x v="0"/>
          </reference>
        </references>
      </pivotArea>
    </chartFormat>
    <chartFormat chart="2" format="55">
      <pivotArea type="data" outline="0" fieldPosition="0">
        <references count="3">
          <reference field="4294967294" count="1" selected="0">
            <x v="0"/>
          </reference>
          <reference field="12" count="1" selected="0">
            <x v="14"/>
          </reference>
          <reference field="15" count="1" selected="0">
            <x v="0"/>
          </reference>
        </references>
      </pivotArea>
    </chartFormat>
    <chartFormat chart="2" format="56">
      <pivotArea type="data" outline="0" fieldPosition="0">
        <references count="3">
          <reference field="4294967294" count="1" selected="0">
            <x v="0"/>
          </reference>
          <reference field="12" count="1" selected="0">
            <x v="15"/>
          </reference>
          <reference field="15" count="1" selected="0">
            <x v="0"/>
          </reference>
        </references>
      </pivotArea>
    </chartFormat>
    <chartFormat chart="2" format="57">
      <pivotArea type="data" outline="0" fieldPosition="0">
        <references count="3">
          <reference field="4294967294" count="1" selected="0">
            <x v="0"/>
          </reference>
          <reference field="12" count="1" selected="0">
            <x v="16"/>
          </reference>
          <reference field="15" count="1" selected="0">
            <x v="0"/>
          </reference>
        </references>
      </pivotArea>
    </chartFormat>
    <chartFormat chart="2" format="58">
      <pivotArea type="data" outline="0" fieldPosition="0">
        <references count="3">
          <reference field="4294967294" count="1" selected="0">
            <x v="0"/>
          </reference>
          <reference field="12" count="1" selected="0">
            <x v="17"/>
          </reference>
          <reference field="15" count="1" selected="0">
            <x v="0"/>
          </reference>
        </references>
      </pivotArea>
    </chartFormat>
    <chartFormat chart="2" format="59" series="1">
      <pivotArea type="data" outline="0" fieldPosition="0">
        <references count="2">
          <reference field="4294967294" count="1" selected="0">
            <x v="0"/>
          </reference>
          <reference field="15" count="1" selected="0">
            <x v="1"/>
          </reference>
        </references>
      </pivotArea>
    </chartFormat>
    <chartFormat chart="2" format="60">
      <pivotArea type="data" outline="0" fieldPosition="0">
        <references count="3">
          <reference field="4294967294" count="1" selected="0">
            <x v="0"/>
          </reference>
          <reference field="12" count="1" selected="0">
            <x v="0"/>
          </reference>
          <reference field="15" count="1" selected="0">
            <x v="1"/>
          </reference>
        </references>
      </pivotArea>
    </chartFormat>
    <chartFormat chart="2" format="61">
      <pivotArea type="data" outline="0" fieldPosition="0">
        <references count="3">
          <reference field="4294967294" count="1" selected="0">
            <x v="0"/>
          </reference>
          <reference field="12" count="1" selected="0">
            <x v="1"/>
          </reference>
          <reference field="15" count="1" selected="0">
            <x v="1"/>
          </reference>
        </references>
      </pivotArea>
    </chartFormat>
    <chartFormat chart="2" format="62">
      <pivotArea type="data" outline="0" fieldPosition="0">
        <references count="3">
          <reference field="4294967294" count="1" selected="0">
            <x v="0"/>
          </reference>
          <reference field="12" count="1" selected="0">
            <x v="2"/>
          </reference>
          <reference field="15" count="1" selected="0">
            <x v="1"/>
          </reference>
        </references>
      </pivotArea>
    </chartFormat>
    <chartFormat chart="2" format="63">
      <pivotArea type="data" outline="0" fieldPosition="0">
        <references count="3">
          <reference field="4294967294" count="1" selected="0">
            <x v="0"/>
          </reference>
          <reference field="12" count="1" selected="0">
            <x v="3"/>
          </reference>
          <reference field="15" count="1" selected="0">
            <x v="1"/>
          </reference>
        </references>
      </pivotArea>
    </chartFormat>
    <chartFormat chart="2" format="64">
      <pivotArea type="data" outline="0" fieldPosition="0">
        <references count="3">
          <reference field="4294967294" count="1" selected="0">
            <x v="0"/>
          </reference>
          <reference field="12" count="1" selected="0">
            <x v="4"/>
          </reference>
          <reference field="15" count="1" selected="0">
            <x v="1"/>
          </reference>
        </references>
      </pivotArea>
    </chartFormat>
    <chartFormat chart="2" format="65">
      <pivotArea type="data" outline="0" fieldPosition="0">
        <references count="3">
          <reference field="4294967294" count="1" selected="0">
            <x v="0"/>
          </reference>
          <reference field="12" count="1" selected="0">
            <x v="5"/>
          </reference>
          <reference field="15" count="1" selected="0">
            <x v="1"/>
          </reference>
        </references>
      </pivotArea>
    </chartFormat>
    <chartFormat chart="2" format="66">
      <pivotArea type="data" outline="0" fieldPosition="0">
        <references count="3">
          <reference field="4294967294" count="1" selected="0">
            <x v="0"/>
          </reference>
          <reference field="12" count="1" selected="0">
            <x v="6"/>
          </reference>
          <reference field="15" count="1" selected="0">
            <x v="1"/>
          </reference>
        </references>
      </pivotArea>
    </chartFormat>
    <chartFormat chart="2" format="67">
      <pivotArea type="data" outline="0" fieldPosition="0">
        <references count="3">
          <reference field="4294967294" count="1" selected="0">
            <x v="0"/>
          </reference>
          <reference field="12" count="1" selected="0">
            <x v="7"/>
          </reference>
          <reference field="15" count="1" selected="0">
            <x v="1"/>
          </reference>
        </references>
      </pivotArea>
    </chartFormat>
    <chartFormat chart="2" format="68">
      <pivotArea type="data" outline="0" fieldPosition="0">
        <references count="3">
          <reference field="4294967294" count="1" selected="0">
            <x v="0"/>
          </reference>
          <reference field="12" count="1" selected="0">
            <x v="8"/>
          </reference>
          <reference field="15" count="1" selected="0">
            <x v="1"/>
          </reference>
        </references>
      </pivotArea>
    </chartFormat>
    <chartFormat chart="2" format="69">
      <pivotArea type="data" outline="0" fieldPosition="0">
        <references count="3">
          <reference field="4294967294" count="1" selected="0">
            <x v="0"/>
          </reference>
          <reference field="12" count="1" selected="0">
            <x v="9"/>
          </reference>
          <reference field="15" count="1" selected="0">
            <x v="1"/>
          </reference>
        </references>
      </pivotArea>
    </chartFormat>
    <chartFormat chart="2" format="70">
      <pivotArea type="data" outline="0" fieldPosition="0">
        <references count="3">
          <reference field="4294967294" count="1" selected="0">
            <x v="0"/>
          </reference>
          <reference field="12" count="1" selected="0">
            <x v="10"/>
          </reference>
          <reference field="15" count="1" selected="0">
            <x v="1"/>
          </reference>
        </references>
      </pivotArea>
    </chartFormat>
    <chartFormat chart="2" format="71">
      <pivotArea type="data" outline="0" fieldPosition="0">
        <references count="3">
          <reference field="4294967294" count="1" selected="0">
            <x v="0"/>
          </reference>
          <reference field="12" count="1" selected="0">
            <x v="11"/>
          </reference>
          <reference field="15" count="1" selected="0">
            <x v="1"/>
          </reference>
        </references>
      </pivotArea>
    </chartFormat>
    <chartFormat chart="2" format="72">
      <pivotArea type="data" outline="0" fieldPosition="0">
        <references count="3">
          <reference field="4294967294" count="1" selected="0">
            <x v="0"/>
          </reference>
          <reference field="12" count="1" selected="0">
            <x v="12"/>
          </reference>
          <reference field="15" count="1" selected="0">
            <x v="1"/>
          </reference>
        </references>
      </pivotArea>
    </chartFormat>
    <chartFormat chart="2" format="73">
      <pivotArea type="data" outline="0" fieldPosition="0">
        <references count="3">
          <reference field="4294967294" count="1" selected="0">
            <x v="0"/>
          </reference>
          <reference field="12" count="1" selected="0">
            <x v="13"/>
          </reference>
          <reference field="15" count="1" selected="0">
            <x v="1"/>
          </reference>
        </references>
      </pivotArea>
    </chartFormat>
    <chartFormat chart="2" format="74">
      <pivotArea type="data" outline="0" fieldPosition="0">
        <references count="3">
          <reference field="4294967294" count="1" selected="0">
            <x v="0"/>
          </reference>
          <reference field="12" count="1" selected="0">
            <x v="14"/>
          </reference>
          <reference field="15" count="1" selected="0">
            <x v="1"/>
          </reference>
        </references>
      </pivotArea>
    </chartFormat>
    <chartFormat chart="2" format="75">
      <pivotArea type="data" outline="0" fieldPosition="0">
        <references count="3">
          <reference field="4294967294" count="1" selected="0">
            <x v="0"/>
          </reference>
          <reference field="12" count="1" selected="0">
            <x v="15"/>
          </reference>
          <reference field="15" count="1" selected="0">
            <x v="1"/>
          </reference>
        </references>
      </pivotArea>
    </chartFormat>
    <chartFormat chart="2" format="76">
      <pivotArea type="data" outline="0" fieldPosition="0">
        <references count="3">
          <reference field="4294967294" count="1" selected="0">
            <x v="0"/>
          </reference>
          <reference field="12" count="1" selected="0">
            <x v="16"/>
          </reference>
          <reference field="15" count="1" selected="0">
            <x v="1"/>
          </reference>
        </references>
      </pivotArea>
    </chartFormat>
    <chartFormat chart="2" format="77">
      <pivotArea type="data" outline="0" fieldPosition="0">
        <references count="3">
          <reference field="4294967294" count="1" selected="0">
            <x v="0"/>
          </reference>
          <reference field="12" count="1" selected="0">
            <x v="17"/>
          </reference>
          <reference field="15" count="1" selected="0">
            <x v="1"/>
          </reference>
        </references>
      </pivotArea>
    </chartFormat>
    <chartFormat chart="2" format="7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2A25F-CBE5-43BB-B5F5-CF143D6DB29F}"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8:I13" firstHeaderRow="1" firstDataRow="2" firstDataCol="1"/>
  <pivotFields count="16">
    <pivotField showAll="0"/>
    <pivotField showAll="0"/>
    <pivotField showAll="0"/>
    <pivotField axis="axisRow" showAll="0">
      <items count="4">
        <item x="0"/>
        <item x="1"/>
        <item x="2"/>
        <item t="default"/>
      </items>
    </pivotField>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items count="8">
        <item x="6"/>
        <item x="2"/>
        <item x="4"/>
        <item x="0"/>
        <item x="5"/>
        <item x="1"/>
        <item x="3"/>
        <item t="default"/>
      </items>
    </pivotField>
    <pivotField showAll="0"/>
    <pivotField showAll="0">
      <items count="4">
        <item x="0"/>
        <item x="2"/>
        <item x="1"/>
        <item t="default"/>
      </items>
    </pivotField>
    <pivotField showAll="0"/>
    <pivotField axis="axisCol" dataField="1" showAll="0">
      <items count="3">
        <item x="1"/>
        <item x="0"/>
        <item t="default"/>
      </items>
    </pivotField>
  </pivotFields>
  <rowFields count="1">
    <field x="3"/>
  </rowFields>
  <rowItems count="4">
    <i>
      <x/>
    </i>
    <i>
      <x v="1"/>
    </i>
    <i>
      <x v="2"/>
    </i>
    <i t="grand">
      <x/>
    </i>
  </rowItems>
  <colFields count="1">
    <field x="15"/>
  </colFields>
  <colItems count="3">
    <i>
      <x/>
    </i>
    <i>
      <x v="1"/>
    </i>
    <i t="grand">
      <x/>
    </i>
  </colItems>
  <dataFields count="1">
    <dataField name="Count of Bike Purchased" fld="15" subtotal="count" baseField="0" baseItem="0"/>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1759E-A2BF-454D-8010-86EB0E4E2538}"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6">
    <pivotField showAll="0"/>
    <pivotField showAll="0"/>
    <pivotField axis="axisRow" showAll="0">
      <items count="3">
        <item x="1"/>
        <item x="0"/>
        <item t="default"/>
      </items>
    </pivotField>
    <pivotField showAll="0"/>
    <pivotField showAll="0">
      <items count="24">
        <item x="4"/>
        <item x="13"/>
        <item x="17"/>
        <item x="9"/>
        <item x="1"/>
        <item x="6"/>
        <item x="3"/>
        <item x="10"/>
        <item x="7"/>
        <item x="0"/>
        <item x="14"/>
        <item x="19"/>
        <item x="5"/>
        <item x="15"/>
        <item x="21"/>
        <item x="11"/>
        <item x="20"/>
        <item x="8"/>
        <item x="22"/>
        <item x="18"/>
        <item x="12"/>
        <item x="2"/>
        <item x="16"/>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showAll="0">
      <items count="8">
        <item x="6"/>
        <item x="2"/>
        <item x="4"/>
        <item x="0"/>
        <item x="5"/>
        <item x="1"/>
        <item x="3"/>
        <item t="default"/>
      </items>
    </pivotField>
    <pivotField showAll="0"/>
    <pivotField showAll="0">
      <items count="4">
        <item x="0"/>
        <item x="2"/>
        <item x="1"/>
        <item t="default"/>
      </items>
    </pivotField>
    <pivotField showAll="0"/>
    <pivotField axis="axisCol" dataField="1" showAll="0">
      <items count="3">
        <item x="1"/>
        <item x="0"/>
        <item t="default"/>
      </items>
    </pivotField>
  </pivotFields>
  <rowFields count="1">
    <field x="2"/>
  </rowFields>
  <rowItems count="3">
    <i>
      <x/>
    </i>
    <i>
      <x v="1"/>
    </i>
    <i t="grand">
      <x/>
    </i>
  </rowItems>
  <colFields count="1">
    <field x="15"/>
  </colFields>
  <colItems count="3">
    <i>
      <x/>
    </i>
    <i>
      <x v="1"/>
    </i>
    <i t="grand">
      <x/>
    </i>
  </colItems>
  <dataFields count="1">
    <dataField name="Count of Bike Purchased" fld="15" subtotal="count" baseField="4" baseItem="0"/>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9A5CB5E-4041-4666-BD02-98D72B36B1F4}" sourceName="Marital Status">
  <pivotTables>
    <pivotTable tabId="3" name="PivotTable10"/>
    <pivotTable tabId="3" name="PivotTable11"/>
    <pivotTable tabId="3" name="PivotTable12"/>
  </pivotTables>
  <data>
    <tabular pivotCacheId="12076893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Car" xr10:uid="{1099BD5E-FFCE-48A4-9D72-4E37D175D43C}" sourceName="Has Car">
  <pivotTables>
    <pivotTable tabId="3" name="PivotTable10"/>
    <pivotTable tabId="3" name="PivotTable11"/>
    <pivotTable tabId="3" name="PivotTable12"/>
  </pivotTables>
  <data>
    <tabular pivotCacheId="12076893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6B66BC-7599-452B-86E8-F4EDBDC1A763}" sourceName="City">
  <pivotTables>
    <pivotTable tabId="3" name="PivotTable10"/>
    <pivotTable tabId="3" name="PivotTable11"/>
    <pivotTable tabId="3" name="PivotTable12"/>
  </pivotTables>
  <data>
    <tabular pivotCacheId="1207689301">
      <items count="7">
        <i x="6" s="1"/>
        <i x="2" s="1"/>
        <i x="4" s="1"/>
        <i x="0" s="1"/>
        <i x="5"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Type" xr10:uid="{5040CE04-66A5-4A4A-A8C2-9BF3A2D734C7}" sourceName="Commute Type">
  <pivotTables>
    <pivotTable tabId="3" name="PivotTable10"/>
    <pivotTable tabId="3" name="PivotTable11"/>
    <pivotTable tabId="3" name="PivotTable12"/>
  </pivotTables>
  <data>
    <tabular pivotCacheId="12076893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DD07F3B-C45A-4AC4-8D17-2BC0AD5B46CC}" cache="Slicer_Marital_Status" caption="Marital Status" rowHeight="234950"/>
  <slicer name="Has Car" xr10:uid="{A9AA21C1-5705-422F-8795-AF81FD3CA762}" cache="Slicer_Has_Car" caption="Has Car" rowHeight="234950"/>
  <slicer name="City" xr10:uid="{F0F109AD-7AAC-4061-8D94-DBF86C1AE724}" cache="Slicer_City" caption="City" rowHeight="234950"/>
  <slicer name="Commute Type" xr10:uid="{70E1697F-5E3C-425D-A64C-EE9853D8A6AD}" cache="Slicer_Commute_Type" caption="Commute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2395-DEFE-449A-88B2-D37029F13D45}">
  <dimension ref="A1:P51"/>
  <sheetViews>
    <sheetView workbookViewId="0">
      <selection sqref="A1:P51"/>
    </sheetView>
  </sheetViews>
  <sheetFormatPr defaultRowHeight="14.4" x14ac:dyDescent="0.3"/>
  <cols>
    <col min="1" max="1" width="12.6640625" customWidth="1"/>
    <col min="2" max="2" width="16.109375" customWidth="1"/>
    <col min="3" max="4" width="11.33203125" customWidth="1"/>
    <col min="5" max="5" width="12.6640625" customWidth="1"/>
    <col min="6" max="6" width="14.88671875" customWidth="1"/>
    <col min="7" max="7" width="15.77734375" customWidth="1"/>
    <col min="8" max="8" width="21" customWidth="1"/>
    <col min="9" max="9" width="13.21875" customWidth="1"/>
    <col min="10" max="10" width="10.109375" customWidth="1"/>
    <col min="12" max="12" width="12.77734375" customWidth="1"/>
    <col min="13" max="13" width="9.5546875" customWidth="1"/>
    <col min="14" max="14" width="14.109375" customWidth="1"/>
    <col min="15" max="15" width="14.21875" customWidth="1"/>
    <col min="16" max="16" width="13.21875" customWidth="1"/>
  </cols>
  <sheetData>
    <row r="1" spans="1:16" x14ac:dyDescent="0.3">
      <c r="A1" s="1" t="s">
        <v>0</v>
      </c>
      <c r="B1" t="s">
        <v>1</v>
      </c>
      <c r="C1" t="s">
        <v>2</v>
      </c>
      <c r="D1" t="s">
        <v>149</v>
      </c>
      <c r="E1" t="s">
        <v>3</v>
      </c>
      <c r="F1" t="s">
        <v>4</v>
      </c>
      <c r="G1" t="s">
        <v>5</v>
      </c>
      <c r="H1" t="s">
        <v>6</v>
      </c>
      <c r="I1" t="s">
        <v>7</v>
      </c>
      <c r="J1" t="s">
        <v>146</v>
      </c>
      <c r="K1" t="s">
        <v>8</v>
      </c>
      <c r="L1" t="s">
        <v>9</v>
      </c>
      <c r="M1" t="s">
        <v>147</v>
      </c>
      <c r="N1" t="s">
        <v>10</v>
      </c>
      <c r="O1" t="s">
        <v>148</v>
      </c>
      <c r="P1" t="s">
        <v>11</v>
      </c>
    </row>
    <row r="2" spans="1:16" x14ac:dyDescent="0.3">
      <c r="A2" t="s">
        <v>12</v>
      </c>
      <c r="B2" t="s">
        <v>13</v>
      </c>
      <c r="C2" t="s">
        <v>14</v>
      </c>
      <c r="D2" t="str">
        <f>_xlfn.IFS(E:E&lt;=25,"young",E1:E51&lt;=35,"adult",E1:E51&lt;=45,"old")</f>
        <v>adult</v>
      </c>
      <c r="E2">
        <v>32</v>
      </c>
      <c r="F2" t="s">
        <v>15</v>
      </c>
      <c r="G2" t="s">
        <v>16</v>
      </c>
      <c r="H2" t="s">
        <v>17</v>
      </c>
      <c r="I2">
        <v>950000</v>
      </c>
      <c r="J2">
        <v>1</v>
      </c>
      <c r="K2" t="s">
        <v>18</v>
      </c>
      <c r="L2" t="s">
        <v>19</v>
      </c>
      <c r="M2">
        <v>18</v>
      </c>
      <c r="N2" t="s">
        <v>20</v>
      </c>
      <c r="O2" t="s">
        <v>21</v>
      </c>
      <c r="P2" t="s">
        <v>18</v>
      </c>
    </row>
    <row r="3" spans="1:16" x14ac:dyDescent="0.3">
      <c r="A3" t="s">
        <v>22</v>
      </c>
      <c r="B3" t="s">
        <v>23</v>
      </c>
      <c r="C3" t="s">
        <v>24</v>
      </c>
      <c r="D3" t="str">
        <f>_xlfn.IFS(E:E&lt;=25,"young",E2:E52&lt;=35,"adult",E2:E52&lt;=45,"old")</f>
        <v>adult</v>
      </c>
      <c r="E3">
        <v>27</v>
      </c>
      <c r="F3" t="s">
        <v>25</v>
      </c>
      <c r="G3" t="s">
        <v>26</v>
      </c>
      <c r="H3" t="s">
        <v>27</v>
      </c>
      <c r="I3">
        <v>720000</v>
      </c>
      <c r="J3">
        <v>0</v>
      </c>
      <c r="K3" t="s">
        <v>28</v>
      </c>
      <c r="L3" t="s">
        <v>29</v>
      </c>
      <c r="M3">
        <v>10</v>
      </c>
      <c r="N3" t="s">
        <v>30</v>
      </c>
      <c r="O3" t="s">
        <v>31</v>
      </c>
      <c r="P3" t="s">
        <v>28</v>
      </c>
    </row>
    <row r="4" spans="1:16" x14ac:dyDescent="0.3">
      <c r="A4" t="s">
        <v>32</v>
      </c>
      <c r="B4" t="s">
        <v>33</v>
      </c>
      <c r="C4" t="s">
        <v>14</v>
      </c>
      <c r="D4" t="str">
        <f>_xlfn.IFS(E:E&lt;=25,"young",E3:E53&lt;=35,"adult",E3:E53&lt;=45,"old")</f>
        <v>old</v>
      </c>
      <c r="E4">
        <v>45</v>
      </c>
      <c r="F4" t="s">
        <v>15</v>
      </c>
      <c r="G4" t="s">
        <v>34</v>
      </c>
      <c r="H4" t="s">
        <v>35</v>
      </c>
      <c r="I4">
        <v>1850000</v>
      </c>
      <c r="J4">
        <v>2</v>
      </c>
      <c r="K4" t="s">
        <v>18</v>
      </c>
      <c r="L4" t="s">
        <v>36</v>
      </c>
      <c r="M4">
        <v>12</v>
      </c>
      <c r="N4" t="s">
        <v>37</v>
      </c>
      <c r="O4" t="s">
        <v>38</v>
      </c>
      <c r="P4" t="s">
        <v>18</v>
      </c>
    </row>
    <row r="5" spans="1:16" x14ac:dyDescent="0.3">
      <c r="A5" t="s">
        <v>39</v>
      </c>
      <c r="B5" t="s">
        <v>40</v>
      </c>
      <c r="C5" t="s">
        <v>24</v>
      </c>
      <c r="D5" t="str">
        <f t="shared" ref="D3:D51" si="0">_xlfn.IFS(E:E&lt;=25,"young",E4:E54&lt;=35,"adult",E4:E54&lt;=40,"old")</f>
        <v>adult</v>
      </c>
      <c r="E5">
        <v>29</v>
      </c>
      <c r="F5" t="s">
        <v>15</v>
      </c>
      <c r="G5" t="s">
        <v>16</v>
      </c>
      <c r="H5" t="s">
        <v>41</v>
      </c>
      <c r="I5">
        <v>1200000</v>
      </c>
      <c r="J5">
        <v>1</v>
      </c>
      <c r="K5" t="s">
        <v>18</v>
      </c>
      <c r="L5" t="s">
        <v>42</v>
      </c>
      <c r="M5">
        <v>15</v>
      </c>
      <c r="N5" t="s">
        <v>20</v>
      </c>
      <c r="O5" t="s">
        <v>21</v>
      </c>
      <c r="P5" t="s">
        <v>18</v>
      </c>
    </row>
    <row r="6" spans="1:16" x14ac:dyDescent="0.3">
      <c r="A6" t="s">
        <v>43</v>
      </c>
      <c r="B6" t="s">
        <v>44</v>
      </c>
      <c r="C6" t="s">
        <v>14</v>
      </c>
      <c r="D6" t="str">
        <f t="shared" si="0"/>
        <v>young</v>
      </c>
      <c r="E6">
        <v>23</v>
      </c>
      <c r="F6" t="s">
        <v>25</v>
      </c>
      <c r="G6" t="s">
        <v>16</v>
      </c>
      <c r="H6" t="s">
        <v>45</v>
      </c>
      <c r="I6">
        <v>300000</v>
      </c>
      <c r="J6">
        <v>0</v>
      </c>
      <c r="K6" t="s">
        <v>28</v>
      </c>
      <c r="L6" t="s">
        <v>46</v>
      </c>
      <c r="M6">
        <v>7</v>
      </c>
      <c r="N6" t="s">
        <v>30</v>
      </c>
      <c r="O6" t="s">
        <v>47</v>
      </c>
      <c r="P6" t="s">
        <v>28</v>
      </c>
    </row>
    <row r="7" spans="1:16" x14ac:dyDescent="0.3">
      <c r="A7" t="s">
        <v>48</v>
      </c>
      <c r="B7" t="s">
        <v>49</v>
      </c>
      <c r="C7" t="s">
        <v>24</v>
      </c>
      <c r="D7" t="str">
        <f t="shared" si="0"/>
        <v>adult</v>
      </c>
      <c r="E7">
        <v>35</v>
      </c>
      <c r="F7" t="s">
        <v>15</v>
      </c>
      <c r="G7" t="s">
        <v>26</v>
      </c>
      <c r="H7" t="s">
        <v>50</v>
      </c>
      <c r="I7">
        <v>2100000</v>
      </c>
      <c r="J7">
        <v>2</v>
      </c>
      <c r="K7" t="s">
        <v>18</v>
      </c>
      <c r="L7" t="s">
        <v>51</v>
      </c>
      <c r="M7">
        <v>20</v>
      </c>
      <c r="N7" t="s">
        <v>37</v>
      </c>
      <c r="O7" t="s">
        <v>38</v>
      </c>
      <c r="P7" t="s">
        <v>18</v>
      </c>
    </row>
    <row r="8" spans="1:16" x14ac:dyDescent="0.3">
      <c r="A8" t="s">
        <v>52</v>
      </c>
      <c r="B8" t="s">
        <v>53</v>
      </c>
      <c r="C8" t="s">
        <v>14</v>
      </c>
      <c r="D8" t="str">
        <f t="shared" si="0"/>
        <v>adult</v>
      </c>
      <c r="E8">
        <v>28</v>
      </c>
      <c r="F8" t="s">
        <v>25</v>
      </c>
      <c r="G8" t="s">
        <v>16</v>
      </c>
      <c r="H8" t="s">
        <v>54</v>
      </c>
      <c r="I8">
        <v>560000</v>
      </c>
      <c r="J8">
        <v>0</v>
      </c>
      <c r="K8" t="s">
        <v>28</v>
      </c>
      <c r="L8" t="s">
        <v>29</v>
      </c>
      <c r="M8">
        <v>9</v>
      </c>
      <c r="N8" t="s">
        <v>20</v>
      </c>
      <c r="O8" t="s">
        <v>31</v>
      </c>
      <c r="P8" t="s">
        <v>18</v>
      </c>
    </row>
    <row r="9" spans="1:16" x14ac:dyDescent="0.3">
      <c r="A9" t="s">
        <v>55</v>
      </c>
      <c r="B9" t="s">
        <v>56</v>
      </c>
      <c r="C9" t="s">
        <v>24</v>
      </c>
      <c r="D9" t="str">
        <f t="shared" si="0"/>
        <v>adult</v>
      </c>
      <c r="E9">
        <v>31</v>
      </c>
      <c r="F9" t="s">
        <v>15</v>
      </c>
      <c r="G9" t="s">
        <v>16</v>
      </c>
      <c r="H9" t="s">
        <v>17</v>
      </c>
      <c r="I9">
        <v>950000</v>
      </c>
      <c r="J9">
        <v>1</v>
      </c>
      <c r="K9" t="s">
        <v>18</v>
      </c>
      <c r="L9" t="s">
        <v>19</v>
      </c>
      <c r="M9">
        <v>11</v>
      </c>
      <c r="N9" t="s">
        <v>20</v>
      </c>
      <c r="O9" t="s">
        <v>21</v>
      </c>
      <c r="P9" t="s">
        <v>18</v>
      </c>
    </row>
    <row r="10" spans="1:16" x14ac:dyDescent="0.3">
      <c r="A10" t="s">
        <v>57</v>
      </c>
      <c r="B10" t="s">
        <v>58</v>
      </c>
      <c r="C10" t="s">
        <v>14</v>
      </c>
      <c r="D10" t="str">
        <f t="shared" si="0"/>
        <v>old</v>
      </c>
      <c r="E10">
        <v>40</v>
      </c>
      <c r="F10" t="s">
        <v>15</v>
      </c>
      <c r="G10" t="s">
        <v>26</v>
      </c>
      <c r="H10" t="s">
        <v>59</v>
      </c>
      <c r="I10">
        <v>1350000</v>
      </c>
      <c r="J10">
        <v>2</v>
      </c>
      <c r="K10" t="s">
        <v>18</v>
      </c>
      <c r="L10" t="s">
        <v>36</v>
      </c>
      <c r="M10">
        <v>16</v>
      </c>
      <c r="N10" t="s">
        <v>37</v>
      </c>
      <c r="O10" t="s">
        <v>60</v>
      </c>
      <c r="P10" t="s">
        <v>18</v>
      </c>
    </row>
    <row r="11" spans="1:16" x14ac:dyDescent="0.3">
      <c r="A11" t="s">
        <v>61</v>
      </c>
      <c r="B11" t="s">
        <v>62</v>
      </c>
      <c r="C11" t="s">
        <v>24</v>
      </c>
      <c r="D11" t="str">
        <f t="shared" si="0"/>
        <v>adult</v>
      </c>
      <c r="E11">
        <v>26</v>
      </c>
      <c r="F11" t="s">
        <v>25</v>
      </c>
      <c r="G11" t="s">
        <v>16</v>
      </c>
      <c r="H11" t="s">
        <v>45</v>
      </c>
      <c r="I11">
        <v>420000</v>
      </c>
      <c r="J11">
        <v>0</v>
      </c>
      <c r="K11" t="s">
        <v>28</v>
      </c>
      <c r="L11" t="s">
        <v>63</v>
      </c>
      <c r="M11">
        <v>5</v>
      </c>
      <c r="N11" t="s">
        <v>30</v>
      </c>
      <c r="O11" t="s">
        <v>31</v>
      </c>
      <c r="P11" t="s">
        <v>28</v>
      </c>
    </row>
    <row r="12" spans="1:16" x14ac:dyDescent="0.3">
      <c r="A12" t="s">
        <v>64</v>
      </c>
      <c r="B12" t="s">
        <v>65</v>
      </c>
      <c r="C12" t="s">
        <v>14</v>
      </c>
      <c r="D12" t="str">
        <f t="shared" si="0"/>
        <v>adult</v>
      </c>
      <c r="E12">
        <v>30</v>
      </c>
      <c r="F12" t="s">
        <v>25</v>
      </c>
      <c r="G12" t="s">
        <v>16</v>
      </c>
      <c r="H12" t="s">
        <v>41</v>
      </c>
      <c r="I12">
        <v>850000</v>
      </c>
      <c r="J12">
        <v>0</v>
      </c>
      <c r="K12" t="s">
        <v>28</v>
      </c>
      <c r="L12" t="s">
        <v>42</v>
      </c>
      <c r="M12">
        <v>10</v>
      </c>
      <c r="N12" t="s">
        <v>20</v>
      </c>
      <c r="O12" t="s">
        <v>21</v>
      </c>
      <c r="P12" t="s">
        <v>18</v>
      </c>
    </row>
    <row r="13" spans="1:16" x14ac:dyDescent="0.3">
      <c r="A13" t="s">
        <v>66</v>
      </c>
      <c r="B13" t="s">
        <v>67</v>
      </c>
      <c r="C13" t="s">
        <v>24</v>
      </c>
      <c r="D13" t="str">
        <f t="shared" si="0"/>
        <v>old</v>
      </c>
      <c r="E13">
        <v>38</v>
      </c>
      <c r="F13" t="s">
        <v>15</v>
      </c>
      <c r="G13" t="s">
        <v>26</v>
      </c>
      <c r="H13" t="s">
        <v>27</v>
      </c>
      <c r="I13">
        <v>900000</v>
      </c>
      <c r="J13">
        <v>1</v>
      </c>
      <c r="K13" t="s">
        <v>18</v>
      </c>
      <c r="L13" t="s">
        <v>19</v>
      </c>
      <c r="M13">
        <v>14</v>
      </c>
      <c r="N13" t="s">
        <v>37</v>
      </c>
      <c r="O13" t="s">
        <v>60</v>
      </c>
      <c r="P13" t="s">
        <v>18</v>
      </c>
    </row>
    <row r="14" spans="1:16" x14ac:dyDescent="0.3">
      <c r="A14" t="s">
        <v>68</v>
      </c>
      <c r="B14" t="s">
        <v>69</v>
      </c>
      <c r="C14" t="s">
        <v>14</v>
      </c>
      <c r="D14" t="str">
        <f>_xlfn.IFS(E:E&lt;=25,"young",E13:E63&lt;=35,"adult",E13:E63&lt;=50,"old")</f>
        <v>old</v>
      </c>
      <c r="E14">
        <v>44</v>
      </c>
      <c r="F14" t="s">
        <v>15</v>
      </c>
      <c r="G14" t="s">
        <v>16</v>
      </c>
      <c r="H14" t="s">
        <v>35</v>
      </c>
      <c r="I14">
        <v>1600000</v>
      </c>
      <c r="J14">
        <v>2</v>
      </c>
      <c r="K14" t="s">
        <v>18</v>
      </c>
      <c r="L14" t="s">
        <v>51</v>
      </c>
      <c r="M14">
        <v>18</v>
      </c>
      <c r="N14" t="s">
        <v>37</v>
      </c>
      <c r="O14" t="s">
        <v>38</v>
      </c>
      <c r="P14" t="s">
        <v>18</v>
      </c>
    </row>
    <row r="15" spans="1:16" x14ac:dyDescent="0.3">
      <c r="A15" t="s">
        <v>70</v>
      </c>
      <c r="B15" t="s">
        <v>71</v>
      </c>
      <c r="C15" t="s">
        <v>24</v>
      </c>
      <c r="D15" t="str">
        <f t="shared" ref="D15:D51" si="1">_xlfn.IFS(E:E&lt;=25,"young",E14:E64&lt;=35,"adult",E14:E64&lt;=50,"old")</f>
        <v>young</v>
      </c>
      <c r="E15">
        <v>24</v>
      </c>
      <c r="F15" t="s">
        <v>25</v>
      </c>
      <c r="G15" t="s">
        <v>16</v>
      </c>
      <c r="H15" t="s">
        <v>45</v>
      </c>
      <c r="I15">
        <v>350000</v>
      </c>
      <c r="J15">
        <v>0</v>
      </c>
      <c r="K15" t="s">
        <v>28</v>
      </c>
      <c r="L15" t="s">
        <v>36</v>
      </c>
      <c r="M15">
        <v>6</v>
      </c>
      <c r="N15" t="s">
        <v>30</v>
      </c>
      <c r="O15" t="s">
        <v>31</v>
      </c>
      <c r="P15" t="s">
        <v>28</v>
      </c>
    </row>
    <row r="16" spans="1:16" x14ac:dyDescent="0.3">
      <c r="A16" t="s">
        <v>72</v>
      </c>
      <c r="B16" t="s">
        <v>73</v>
      </c>
      <c r="C16" t="s">
        <v>24</v>
      </c>
      <c r="D16" t="str">
        <f t="shared" si="1"/>
        <v>adult</v>
      </c>
      <c r="E16">
        <v>33</v>
      </c>
      <c r="F16" t="s">
        <v>15</v>
      </c>
      <c r="G16" t="s">
        <v>26</v>
      </c>
      <c r="H16" t="s">
        <v>50</v>
      </c>
      <c r="I16">
        <v>1900000</v>
      </c>
      <c r="J16">
        <v>1</v>
      </c>
      <c r="K16" t="s">
        <v>18</v>
      </c>
      <c r="L16" t="s">
        <v>46</v>
      </c>
      <c r="M16">
        <v>9</v>
      </c>
      <c r="N16" t="s">
        <v>37</v>
      </c>
      <c r="O16" t="s">
        <v>38</v>
      </c>
      <c r="P16" t="s">
        <v>18</v>
      </c>
    </row>
    <row r="17" spans="1:16" x14ac:dyDescent="0.3">
      <c r="A17" t="s">
        <v>74</v>
      </c>
      <c r="B17" t="s">
        <v>75</v>
      </c>
      <c r="C17" t="s">
        <v>14</v>
      </c>
      <c r="D17" t="str">
        <f t="shared" si="1"/>
        <v>old</v>
      </c>
      <c r="E17">
        <v>36</v>
      </c>
      <c r="F17" t="s">
        <v>15</v>
      </c>
      <c r="G17" t="s">
        <v>16</v>
      </c>
      <c r="H17" t="s">
        <v>17</v>
      </c>
      <c r="I17">
        <v>1100000</v>
      </c>
      <c r="J17">
        <v>2</v>
      </c>
      <c r="K17" t="s">
        <v>18</v>
      </c>
      <c r="L17" t="s">
        <v>29</v>
      </c>
      <c r="M17">
        <v>20</v>
      </c>
      <c r="N17" t="s">
        <v>20</v>
      </c>
      <c r="O17" t="s">
        <v>21</v>
      </c>
      <c r="P17" t="s">
        <v>18</v>
      </c>
    </row>
    <row r="18" spans="1:16" x14ac:dyDescent="0.3">
      <c r="A18" t="s">
        <v>76</v>
      </c>
      <c r="B18" t="s">
        <v>77</v>
      </c>
      <c r="C18" t="s">
        <v>24</v>
      </c>
      <c r="D18" t="str">
        <f t="shared" si="1"/>
        <v>adult</v>
      </c>
      <c r="E18">
        <v>28</v>
      </c>
      <c r="F18" t="s">
        <v>25</v>
      </c>
      <c r="G18" t="s">
        <v>16</v>
      </c>
      <c r="H18" t="s">
        <v>54</v>
      </c>
      <c r="I18">
        <v>640000</v>
      </c>
      <c r="J18">
        <v>0</v>
      </c>
      <c r="K18" t="s">
        <v>28</v>
      </c>
      <c r="L18" t="s">
        <v>42</v>
      </c>
      <c r="M18">
        <v>8</v>
      </c>
      <c r="N18" t="s">
        <v>20</v>
      </c>
      <c r="O18" t="s">
        <v>31</v>
      </c>
      <c r="P18" t="s">
        <v>18</v>
      </c>
    </row>
    <row r="19" spans="1:16" x14ac:dyDescent="0.3">
      <c r="A19" t="s">
        <v>78</v>
      </c>
      <c r="B19" t="s">
        <v>79</v>
      </c>
      <c r="C19" t="s">
        <v>14</v>
      </c>
      <c r="D19" t="str">
        <f t="shared" si="1"/>
        <v>old</v>
      </c>
      <c r="E19">
        <v>47</v>
      </c>
      <c r="F19" t="s">
        <v>15</v>
      </c>
      <c r="G19" t="s">
        <v>80</v>
      </c>
      <c r="H19" t="s">
        <v>59</v>
      </c>
      <c r="I19">
        <v>850000</v>
      </c>
      <c r="J19">
        <v>2</v>
      </c>
      <c r="K19" t="s">
        <v>18</v>
      </c>
      <c r="L19" t="s">
        <v>19</v>
      </c>
      <c r="M19">
        <v>22</v>
      </c>
      <c r="N19" t="s">
        <v>37</v>
      </c>
      <c r="O19" t="s">
        <v>60</v>
      </c>
      <c r="P19" t="s">
        <v>18</v>
      </c>
    </row>
    <row r="20" spans="1:16" x14ac:dyDescent="0.3">
      <c r="A20" t="s">
        <v>81</v>
      </c>
      <c r="B20" t="s">
        <v>82</v>
      </c>
      <c r="C20" t="s">
        <v>24</v>
      </c>
      <c r="D20" t="str">
        <f t="shared" si="1"/>
        <v>young</v>
      </c>
      <c r="E20">
        <v>25</v>
      </c>
      <c r="F20" t="s">
        <v>25</v>
      </c>
      <c r="G20" t="s">
        <v>16</v>
      </c>
      <c r="H20" t="s">
        <v>45</v>
      </c>
      <c r="I20">
        <v>380000</v>
      </c>
      <c r="J20">
        <v>0</v>
      </c>
      <c r="K20" t="s">
        <v>28</v>
      </c>
      <c r="L20" t="s">
        <v>46</v>
      </c>
      <c r="M20">
        <v>4</v>
      </c>
      <c r="N20" t="s">
        <v>30</v>
      </c>
      <c r="O20" t="s">
        <v>31</v>
      </c>
      <c r="P20" t="s">
        <v>28</v>
      </c>
    </row>
    <row r="21" spans="1:16" x14ac:dyDescent="0.3">
      <c r="A21" t="s">
        <v>83</v>
      </c>
      <c r="B21" t="s">
        <v>84</v>
      </c>
      <c r="C21" t="s">
        <v>14</v>
      </c>
      <c r="D21" t="str">
        <f t="shared" si="1"/>
        <v>adult</v>
      </c>
      <c r="E21">
        <v>31</v>
      </c>
      <c r="F21" t="s">
        <v>15</v>
      </c>
      <c r="G21" t="s">
        <v>26</v>
      </c>
      <c r="H21" t="s">
        <v>41</v>
      </c>
      <c r="I21">
        <v>980000</v>
      </c>
      <c r="J21">
        <v>1</v>
      </c>
      <c r="K21" t="s">
        <v>18</v>
      </c>
      <c r="L21" t="s">
        <v>36</v>
      </c>
      <c r="M21">
        <v>12</v>
      </c>
      <c r="N21" t="s">
        <v>20</v>
      </c>
      <c r="O21" t="s">
        <v>21</v>
      </c>
      <c r="P21" t="s">
        <v>18</v>
      </c>
    </row>
    <row r="22" spans="1:16" x14ac:dyDescent="0.3">
      <c r="A22" t="s">
        <v>85</v>
      </c>
      <c r="B22" t="s">
        <v>23</v>
      </c>
      <c r="C22" t="s">
        <v>24</v>
      </c>
      <c r="D22" t="str">
        <f t="shared" si="1"/>
        <v>adult</v>
      </c>
      <c r="E22">
        <v>29</v>
      </c>
      <c r="F22" t="s">
        <v>15</v>
      </c>
      <c r="G22" t="s">
        <v>16</v>
      </c>
      <c r="H22" t="s">
        <v>17</v>
      </c>
      <c r="I22">
        <v>940000</v>
      </c>
      <c r="J22">
        <v>1</v>
      </c>
      <c r="K22" t="s">
        <v>18</v>
      </c>
      <c r="L22" t="s">
        <v>51</v>
      </c>
      <c r="M22">
        <v>10</v>
      </c>
      <c r="N22" t="s">
        <v>20</v>
      </c>
      <c r="O22" t="s">
        <v>21</v>
      </c>
      <c r="P22" t="s">
        <v>18</v>
      </c>
    </row>
    <row r="23" spans="1:16" x14ac:dyDescent="0.3">
      <c r="A23" t="s">
        <v>86</v>
      </c>
      <c r="B23" t="s">
        <v>87</v>
      </c>
      <c r="C23" t="s">
        <v>14</v>
      </c>
      <c r="D23" t="str">
        <f t="shared" si="1"/>
        <v>adult</v>
      </c>
      <c r="E23">
        <v>26</v>
      </c>
      <c r="F23" t="s">
        <v>25</v>
      </c>
      <c r="G23" t="s">
        <v>16</v>
      </c>
      <c r="H23" t="s">
        <v>54</v>
      </c>
      <c r="I23">
        <v>580000</v>
      </c>
      <c r="J23">
        <v>0</v>
      </c>
      <c r="K23" t="s">
        <v>28</v>
      </c>
      <c r="L23" t="s">
        <v>42</v>
      </c>
      <c r="M23">
        <v>7</v>
      </c>
      <c r="N23" t="s">
        <v>20</v>
      </c>
      <c r="O23" t="s">
        <v>31</v>
      </c>
      <c r="P23" t="s">
        <v>18</v>
      </c>
    </row>
    <row r="24" spans="1:16" x14ac:dyDescent="0.3">
      <c r="A24" t="s">
        <v>88</v>
      </c>
      <c r="B24" t="s">
        <v>89</v>
      </c>
      <c r="C24" t="s">
        <v>24</v>
      </c>
      <c r="D24" t="str">
        <f t="shared" si="1"/>
        <v>adult</v>
      </c>
      <c r="E24">
        <v>35</v>
      </c>
      <c r="F24" t="s">
        <v>15</v>
      </c>
      <c r="G24" t="s">
        <v>26</v>
      </c>
      <c r="H24" t="s">
        <v>27</v>
      </c>
      <c r="I24">
        <v>870000</v>
      </c>
      <c r="J24">
        <v>2</v>
      </c>
      <c r="K24" t="s">
        <v>18</v>
      </c>
      <c r="L24" t="s">
        <v>19</v>
      </c>
      <c r="M24">
        <v>13</v>
      </c>
      <c r="N24" t="s">
        <v>37</v>
      </c>
      <c r="O24" t="s">
        <v>60</v>
      </c>
      <c r="P24" t="s">
        <v>18</v>
      </c>
    </row>
    <row r="25" spans="1:16" x14ac:dyDescent="0.3">
      <c r="A25" t="s">
        <v>90</v>
      </c>
      <c r="B25" t="s">
        <v>91</v>
      </c>
      <c r="C25" t="s">
        <v>14</v>
      </c>
      <c r="D25" t="str">
        <f t="shared" si="1"/>
        <v>old</v>
      </c>
      <c r="E25">
        <v>42</v>
      </c>
      <c r="F25" t="s">
        <v>15</v>
      </c>
      <c r="G25" t="s">
        <v>16</v>
      </c>
      <c r="H25" t="s">
        <v>35</v>
      </c>
      <c r="I25">
        <v>1720000</v>
      </c>
      <c r="J25">
        <v>2</v>
      </c>
      <c r="K25" t="s">
        <v>18</v>
      </c>
      <c r="L25" t="s">
        <v>29</v>
      </c>
      <c r="M25">
        <v>19</v>
      </c>
      <c r="N25" t="s">
        <v>37</v>
      </c>
      <c r="O25" t="s">
        <v>38</v>
      </c>
      <c r="P25" t="s">
        <v>18</v>
      </c>
    </row>
    <row r="26" spans="1:16" x14ac:dyDescent="0.3">
      <c r="A26" t="s">
        <v>92</v>
      </c>
      <c r="B26" t="s">
        <v>93</v>
      </c>
      <c r="C26" t="s">
        <v>24</v>
      </c>
      <c r="D26" t="str">
        <f t="shared" si="1"/>
        <v>adult</v>
      </c>
      <c r="E26">
        <v>30</v>
      </c>
      <c r="F26" t="s">
        <v>15</v>
      </c>
      <c r="G26" t="s">
        <v>16</v>
      </c>
      <c r="H26" t="s">
        <v>17</v>
      </c>
      <c r="I26">
        <v>950000</v>
      </c>
      <c r="J26">
        <v>1</v>
      </c>
      <c r="K26" t="s">
        <v>18</v>
      </c>
      <c r="L26" t="s">
        <v>46</v>
      </c>
      <c r="M26">
        <v>11</v>
      </c>
      <c r="N26" t="s">
        <v>20</v>
      </c>
      <c r="O26" t="s">
        <v>21</v>
      </c>
      <c r="P26" t="s">
        <v>18</v>
      </c>
    </row>
    <row r="27" spans="1:16" x14ac:dyDescent="0.3">
      <c r="A27" t="s">
        <v>94</v>
      </c>
      <c r="B27" t="s">
        <v>95</v>
      </c>
      <c r="C27" t="s">
        <v>14</v>
      </c>
      <c r="D27" t="str">
        <f t="shared" si="1"/>
        <v>adult</v>
      </c>
      <c r="E27">
        <v>27</v>
      </c>
      <c r="F27" t="s">
        <v>25</v>
      </c>
      <c r="G27" t="s">
        <v>16</v>
      </c>
      <c r="H27" t="s">
        <v>96</v>
      </c>
      <c r="I27">
        <v>620000</v>
      </c>
      <c r="J27">
        <v>0</v>
      </c>
      <c r="K27" t="s">
        <v>28</v>
      </c>
      <c r="L27" t="s">
        <v>19</v>
      </c>
      <c r="M27">
        <v>8</v>
      </c>
      <c r="N27" t="s">
        <v>20</v>
      </c>
      <c r="O27" t="s">
        <v>31</v>
      </c>
      <c r="P27" t="s">
        <v>18</v>
      </c>
    </row>
    <row r="28" spans="1:16" x14ac:dyDescent="0.3">
      <c r="A28" t="s">
        <v>97</v>
      </c>
      <c r="B28" t="s">
        <v>98</v>
      </c>
      <c r="C28" t="s">
        <v>24</v>
      </c>
      <c r="D28" t="str">
        <f t="shared" si="1"/>
        <v>adult</v>
      </c>
      <c r="E28">
        <v>34</v>
      </c>
      <c r="F28" t="s">
        <v>15</v>
      </c>
      <c r="G28" t="s">
        <v>26</v>
      </c>
      <c r="H28" t="s">
        <v>50</v>
      </c>
      <c r="I28">
        <v>1800000</v>
      </c>
      <c r="J28">
        <v>1</v>
      </c>
      <c r="K28" t="s">
        <v>18</v>
      </c>
      <c r="L28" t="s">
        <v>36</v>
      </c>
      <c r="M28">
        <v>15</v>
      </c>
      <c r="N28" t="s">
        <v>37</v>
      </c>
      <c r="O28" t="s">
        <v>38</v>
      </c>
      <c r="P28" t="s">
        <v>18</v>
      </c>
    </row>
    <row r="29" spans="1:16" x14ac:dyDescent="0.3">
      <c r="A29" t="s">
        <v>99</v>
      </c>
      <c r="B29" t="s">
        <v>100</v>
      </c>
      <c r="C29" t="s">
        <v>14</v>
      </c>
      <c r="D29" t="str">
        <f t="shared" si="1"/>
        <v>old</v>
      </c>
      <c r="E29">
        <v>39</v>
      </c>
      <c r="F29" t="s">
        <v>15</v>
      </c>
      <c r="G29" t="s">
        <v>16</v>
      </c>
      <c r="H29" t="s">
        <v>17</v>
      </c>
      <c r="I29">
        <v>1200000</v>
      </c>
      <c r="J29">
        <v>2</v>
      </c>
      <c r="K29" t="s">
        <v>18</v>
      </c>
      <c r="L29" t="s">
        <v>29</v>
      </c>
      <c r="M29">
        <v>17</v>
      </c>
      <c r="N29" t="s">
        <v>20</v>
      </c>
      <c r="O29" t="s">
        <v>21</v>
      </c>
      <c r="P29" t="s">
        <v>18</v>
      </c>
    </row>
    <row r="30" spans="1:16" x14ac:dyDescent="0.3">
      <c r="A30" t="s">
        <v>101</v>
      </c>
      <c r="B30" t="s">
        <v>102</v>
      </c>
      <c r="C30" t="s">
        <v>24</v>
      </c>
      <c r="D30" t="str">
        <f t="shared" si="1"/>
        <v>young</v>
      </c>
      <c r="E30">
        <v>25</v>
      </c>
      <c r="F30" t="s">
        <v>25</v>
      </c>
      <c r="G30" t="s">
        <v>16</v>
      </c>
      <c r="H30" t="s">
        <v>45</v>
      </c>
      <c r="I30">
        <v>370000</v>
      </c>
      <c r="J30">
        <v>0</v>
      </c>
      <c r="K30" t="s">
        <v>28</v>
      </c>
      <c r="L30" t="s">
        <v>42</v>
      </c>
      <c r="M30">
        <v>5</v>
      </c>
      <c r="N30" t="s">
        <v>30</v>
      </c>
      <c r="O30" t="s">
        <v>31</v>
      </c>
      <c r="P30" t="s">
        <v>28</v>
      </c>
    </row>
    <row r="31" spans="1:16" x14ac:dyDescent="0.3">
      <c r="A31" t="s">
        <v>103</v>
      </c>
      <c r="B31" t="s">
        <v>104</v>
      </c>
      <c r="C31" t="s">
        <v>14</v>
      </c>
      <c r="D31" t="str">
        <f t="shared" si="1"/>
        <v>adult</v>
      </c>
      <c r="E31">
        <v>31</v>
      </c>
      <c r="F31" t="s">
        <v>15</v>
      </c>
      <c r="G31" t="s">
        <v>26</v>
      </c>
      <c r="H31" t="s">
        <v>105</v>
      </c>
      <c r="I31">
        <v>1350000</v>
      </c>
      <c r="J31">
        <v>1</v>
      </c>
      <c r="K31" t="s">
        <v>18</v>
      </c>
      <c r="L31" t="s">
        <v>51</v>
      </c>
      <c r="M31">
        <v>14</v>
      </c>
      <c r="N31" t="s">
        <v>37</v>
      </c>
      <c r="O31" t="s">
        <v>38</v>
      </c>
      <c r="P31" t="s">
        <v>18</v>
      </c>
    </row>
    <row r="32" spans="1:16" x14ac:dyDescent="0.3">
      <c r="A32" t="s">
        <v>106</v>
      </c>
      <c r="B32" t="s">
        <v>107</v>
      </c>
      <c r="C32" t="s">
        <v>24</v>
      </c>
      <c r="D32" t="str">
        <f t="shared" si="1"/>
        <v>adult</v>
      </c>
      <c r="E32">
        <v>29</v>
      </c>
      <c r="F32" t="s">
        <v>25</v>
      </c>
      <c r="G32" t="s">
        <v>16</v>
      </c>
      <c r="H32" t="s">
        <v>41</v>
      </c>
      <c r="I32">
        <v>890000</v>
      </c>
      <c r="J32">
        <v>0</v>
      </c>
      <c r="K32" t="s">
        <v>28</v>
      </c>
      <c r="L32" t="s">
        <v>19</v>
      </c>
      <c r="M32">
        <v>10</v>
      </c>
      <c r="N32" t="s">
        <v>20</v>
      </c>
      <c r="O32" t="s">
        <v>21</v>
      </c>
      <c r="P32" t="s">
        <v>18</v>
      </c>
    </row>
    <row r="33" spans="1:16" x14ac:dyDescent="0.3">
      <c r="A33" t="s">
        <v>108</v>
      </c>
      <c r="B33" t="s">
        <v>109</v>
      </c>
      <c r="C33" t="s">
        <v>14</v>
      </c>
      <c r="D33" t="str">
        <f t="shared" si="1"/>
        <v>old</v>
      </c>
      <c r="E33">
        <v>42</v>
      </c>
      <c r="F33" t="s">
        <v>15</v>
      </c>
      <c r="G33" t="s">
        <v>34</v>
      </c>
      <c r="H33" t="s">
        <v>35</v>
      </c>
      <c r="I33">
        <v>1650000</v>
      </c>
      <c r="J33">
        <v>2</v>
      </c>
      <c r="K33" t="s">
        <v>18</v>
      </c>
      <c r="L33" t="s">
        <v>29</v>
      </c>
      <c r="M33">
        <v>18</v>
      </c>
      <c r="N33" t="s">
        <v>37</v>
      </c>
      <c r="O33" t="s">
        <v>38</v>
      </c>
      <c r="P33" t="s">
        <v>18</v>
      </c>
    </row>
    <row r="34" spans="1:16" x14ac:dyDescent="0.3">
      <c r="A34" t="s">
        <v>110</v>
      </c>
      <c r="B34" t="s">
        <v>111</v>
      </c>
      <c r="C34" t="s">
        <v>24</v>
      </c>
      <c r="D34" t="str">
        <f t="shared" si="1"/>
        <v>old</v>
      </c>
      <c r="E34">
        <v>37</v>
      </c>
      <c r="F34" t="s">
        <v>15</v>
      </c>
      <c r="G34" t="s">
        <v>26</v>
      </c>
      <c r="H34" t="s">
        <v>27</v>
      </c>
      <c r="I34">
        <v>950000</v>
      </c>
      <c r="J34">
        <v>1</v>
      </c>
      <c r="K34" t="s">
        <v>18</v>
      </c>
      <c r="L34" t="s">
        <v>46</v>
      </c>
      <c r="M34">
        <v>13</v>
      </c>
      <c r="N34" t="s">
        <v>37</v>
      </c>
      <c r="O34" t="s">
        <v>60</v>
      </c>
      <c r="P34" t="s">
        <v>18</v>
      </c>
    </row>
    <row r="35" spans="1:16" x14ac:dyDescent="0.3">
      <c r="A35" t="s">
        <v>112</v>
      </c>
      <c r="B35" t="s">
        <v>113</v>
      </c>
      <c r="C35" t="s">
        <v>14</v>
      </c>
      <c r="D35" t="str">
        <f t="shared" si="1"/>
        <v>old</v>
      </c>
      <c r="E35">
        <v>45</v>
      </c>
      <c r="F35" t="s">
        <v>15</v>
      </c>
      <c r="G35" t="s">
        <v>16</v>
      </c>
      <c r="H35" t="s">
        <v>59</v>
      </c>
      <c r="I35">
        <v>1450000</v>
      </c>
      <c r="J35">
        <v>3</v>
      </c>
      <c r="K35" t="s">
        <v>18</v>
      </c>
      <c r="L35" t="s">
        <v>19</v>
      </c>
      <c r="M35">
        <v>22</v>
      </c>
      <c r="N35" t="s">
        <v>37</v>
      </c>
      <c r="O35" t="s">
        <v>60</v>
      </c>
      <c r="P35" t="s">
        <v>18</v>
      </c>
    </row>
    <row r="36" spans="1:16" x14ac:dyDescent="0.3">
      <c r="A36" t="s">
        <v>114</v>
      </c>
      <c r="B36" t="s">
        <v>115</v>
      </c>
      <c r="C36" t="s">
        <v>24</v>
      </c>
      <c r="D36" t="str">
        <f t="shared" si="1"/>
        <v>adult</v>
      </c>
      <c r="E36">
        <v>26</v>
      </c>
      <c r="F36" t="s">
        <v>25</v>
      </c>
      <c r="G36" t="s">
        <v>16</v>
      </c>
      <c r="H36" t="s">
        <v>45</v>
      </c>
      <c r="I36">
        <v>400000</v>
      </c>
      <c r="J36">
        <v>0</v>
      </c>
      <c r="K36" t="s">
        <v>28</v>
      </c>
      <c r="L36" t="s">
        <v>36</v>
      </c>
      <c r="M36">
        <v>6</v>
      </c>
      <c r="N36" t="s">
        <v>30</v>
      </c>
      <c r="O36" t="s">
        <v>31</v>
      </c>
      <c r="P36" t="s">
        <v>28</v>
      </c>
    </row>
    <row r="37" spans="1:16" x14ac:dyDescent="0.3">
      <c r="A37" t="s">
        <v>116</v>
      </c>
      <c r="B37" t="s">
        <v>117</v>
      </c>
      <c r="C37" t="s">
        <v>14</v>
      </c>
      <c r="D37" t="str">
        <f t="shared" si="1"/>
        <v>adult</v>
      </c>
      <c r="E37">
        <v>32</v>
      </c>
      <c r="F37" t="s">
        <v>15</v>
      </c>
      <c r="G37" t="s">
        <v>16</v>
      </c>
      <c r="H37" t="s">
        <v>17</v>
      </c>
      <c r="I37">
        <v>980000</v>
      </c>
      <c r="J37">
        <v>1</v>
      </c>
      <c r="K37" t="s">
        <v>18</v>
      </c>
      <c r="L37" t="s">
        <v>42</v>
      </c>
      <c r="M37">
        <v>11</v>
      </c>
      <c r="N37" t="s">
        <v>20</v>
      </c>
      <c r="O37" t="s">
        <v>21</v>
      </c>
      <c r="P37" t="s">
        <v>18</v>
      </c>
    </row>
    <row r="38" spans="1:16" x14ac:dyDescent="0.3">
      <c r="A38" t="s">
        <v>118</v>
      </c>
      <c r="B38" t="s">
        <v>119</v>
      </c>
      <c r="C38" t="s">
        <v>24</v>
      </c>
      <c r="D38" t="str">
        <f t="shared" si="1"/>
        <v>adult</v>
      </c>
      <c r="E38">
        <v>28</v>
      </c>
      <c r="F38" t="s">
        <v>25</v>
      </c>
      <c r="G38" t="s">
        <v>16</v>
      </c>
      <c r="H38" t="s">
        <v>54</v>
      </c>
      <c r="I38">
        <v>600000</v>
      </c>
      <c r="J38">
        <v>0</v>
      </c>
      <c r="K38" t="s">
        <v>28</v>
      </c>
      <c r="L38" t="s">
        <v>19</v>
      </c>
      <c r="M38">
        <v>9</v>
      </c>
      <c r="N38" t="s">
        <v>20</v>
      </c>
      <c r="O38" t="s">
        <v>31</v>
      </c>
      <c r="P38" t="s">
        <v>18</v>
      </c>
    </row>
    <row r="39" spans="1:16" x14ac:dyDescent="0.3">
      <c r="A39" t="s">
        <v>120</v>
      </c>
      <c r="B39" t="s">
        <v>121</v>
      </c>
      <c r="C39" t="s">
        <v>14</v>
      </c>
      <c r="D39" t="str">
        <f t="shared" si="1"/>
        <v>old</v>
      </c>
      <c r="E39">
        <v>41</v>
      </c>
      <c r="F39" t="s">
        <v>15</v>
      </c>
      <c r="G39" t="s">
        <v>26</v>
      </c>
      <c r="H39" t="s">
        <v>105</v>
      </c>
      <c r="I39">
        <v>1580000</v>
      </c>
      <c r="J39">
        <v>2</v>
      </c>
      <c r="K39" t="s">
        <v>18</v>
      </c>
      <c r="L39" t="s">
        <v>29</v>
      </c>
      <c r="M39">
        <v>20</v>
      </c>
      <c r="N39" t="s">
        <v>37</v>
      </c>
      <c r="O39" t="s">
        <v>38</v>
      </c>
      <c r="P39" t="s">
        <v>18</v>
      </c>
    </row>
    <row r="40" spans="1:16" x14ac:dyDescent="0.3">
      <c r="A40" t="s">
        <v>122</v>
      </c>
      <c r="B40" t="s">
        <v>123</v>
      </c>
      <c r="C40" t="s">
        <v>24</v>
      </c>
      <c r="D40" t="str">
        <f t="shared" si="1"/>
        <v>adult</v>
      </c>
      <c r="E40">
        <v>33</v>
      </c>
      <c r="F40" t="s">
        <v>15</v>
      </c>
      <c r="G40" t="s">
        <v>26</v>
      </c>
      <c r="H40" t="s">
        <v>50</v>
      </c>
      <c r="I40">
        <v>1950000</v>
      </c>
      <c r="J40">
        <v>1</v>
      </c>
      <c r="K40" t="s">
        <v>18</v>
      </c>
      <c r="L40" t="s">
        <v>51</v>
      </c>
      <c r="M40">
        <v>12</v>
      </c>
      <c r="N40" t="s">
        <v>37</v>
      </c>
      <c r="O40" t="s">
        <v>38</v>
      </c>
      <c r="P40" t="s">
        <v>18</v>
      </c>
    </row>
    <row r="41" spans="1:16" x14ac:dyDescent="0.3">
      <c r="A41" t="s">
        <v>124</v>
      </c>
      <c r="B41" t="s">
        <v>125</v>
      </c>
      <c r="C41" t="s">
        <v>14</v>
      </c>
      <c r="D41" t="str">
        <f t="shared" si="1"/>
        <v>young</v>
      </c>
      <c r="E41">
        <v>25</v>
      </c>
      <c r="F41" t="s">
        <v>25</v>
      </c>
      <c r="G41" t="s">
        <v>16</v>
      </c>
      <c r="H41" t="s">
        <v>45</v>
      </c>
      <c r="I41">
        <v>370000</v>
      </c>
      <c r="J41">
        <v>0</v>
      </c>
      <c r="K41" t="s">
        <v>28</v>
      </c>
      <c r="L41" t="s">
        <v>42</v>
      </c>
      <c r="M41">
        <v>7</v>
      </c>
      <c r="N41" t="s">
        <v>30</v>
      </c>
      <c r="O41" t="s">
        <v>47</v>
      </c>
      <c r="P41" t="s">
        <v>28</v>
      </c>
    </row>
    <row r="42" spans="1:16" x14ac:dyDescent="0.3">
      <c r="A42" t="s">
        <v>126</v>
      </c>
      <c r="B42" t="s">
        <v>127</v>
      </c>
      <c r="C42" t="s">
        <v>24</v>
      </c>
      <c r="D42" t="str">
        <f t="shared" si="1"/>
        <v>old</v>
      </c>
      <c r="E42">
        <v>36</v>
      </c>
      <c r="F42" t="s">
        <v>15</v>
      </c>
      <c r="G42" t="s">
        <v>16</v>
      </c>
      <c r="H42" t="s">
        <v>27</v>
      </c>
      <c r="I42">
        <v>820000</v>
      </c>
      <c r="J42">
        <v>2</v>
      </c>
      <c r="K42" t="s">
        <v>18</v>
      </c>
      <c r="L42" t="s">
        <v>19</v>
      </c>
      <c r="M42">
        <v>16</v>
      </c>
      <c r="N42" t="s">
        <v>37</v>
      </c>
      <c r="O42" t="s">
        <v>60</v>
      </c>
      <c r="P42" t="s">
        <v>18</v>
      </c>
    </row>
    <row r="43" spans="1:16" x14ac:dyDescent="0.3">
      <c r="A43" t="s">
        <v>128</v>
      </c>
      <c r="B43" t="s">
        <v>129</v>
      </c>
      <c r="C43" t="s">
        <v>14</v>
      </c>
      <c r="D43" t="str">
        <f t="shared" si="1"/>
        <v>adult</v>
      </c>
      <c r="E43">
        <v>30</v>
      </c>
      <c r="F43" t="s">
        <v>25</v>
      </c>
      <c r="G43" t="s">
        <v>16</v>
      </c>
      <c r="H43" t="s">
        <v>41</v>
      </c>
      <c r="I43">
        <v>940000</v>
      </c>
      <c r="J43">
        <v>0</v>
      </c>
      <c r="K43" t="s">
        <v>28</v>
      </c>
      <c r="L43" t="s">
        <v>36</v>
      </c>
      <c r="M43">
        <v>10</v>
      </c>
      <c r="N43" t="s">
        <v>20</v>
      </c>
      <c r="O43" t="s">
        <v>21</v>
      </c>
      <c r="P43" t="s">
        <v>18</v>
      </c>
    </row>
    <row r="44" spans="1:16" x14ac:dyDescent="0.3">
      <c r="A44" t="s">
        <v>130</v>
      </c>
      <c r="B44" t="s">
        <v>131</v>
      </c>
      <c r="C44" t="s">
        <v>24</v>
      </c>
      <c r="D44" t="str">
        <f t="shared" si="1"/>
        <v>adult</v>
      </c>
      <c r="E44">
        <v>27</v>
      </c>
      <c r="F44" t="s">
        <v>25</v>
      </c>
      <c r="G44" t="s">
        <v>16</v>
      </c>
      <c r="H44" t="s">
        <v>54</v>
      </c>
      <c r="I44">
        <v>570000</v>
      </c>
      <c r="J44">
        <v>0</v>
      </c>
      <c r="K44" t="s">
        <v>28</v>
      </c>
      <c r="L44" t="s">
        <v>29</v>
      </c>
      <c r="M44">
        <v>8</v>
      </c>
      <c r="N44" t="s">
        <v>20</v>
      </c>
      <c r="O44" t="s">
        <v>31</v>
      </c>
      <c r="P44" t="s">
        <v>18</v>
      </c>
    </row>
    <row r="45" spans="1:16" x14ac:dyDescent="0.3">
      <c r="A45" t="s">
        <v>132</v>
      </c>
      <c r="B45" t="s">
        <v>133</v>
      </c>
      <c r="C45" t="s">
        <v>14</v>
      </c>
      <c r="D45" t="str">
        <f t="shared" si="1"/>
        <v>old</v>
      </c>
      <c r="E45">
        <v>38</v>
      </c>
      <c r="F45" t="s">
        <v>15</v>
      </c>
      <c r="G45" t="s">
        <v>16</v>
      </c>
      <c r="H45" t="s">
        <v>59</v>
      </c>
      <c r="I45">
        <v>1300000</v>
      </c>
      <c r="J45">
        <v>2</v>
      </c>
      <c r="K45" t="s">
        <v>18</v>
      </c>
      <c r="L45" t="s">
        <v>51</v>
      </c>
      <c r="M45">
        <v>18</v>
      </c>
      <c r="N45" t="s">
        <v>37</v>
      </c>
      <c r="O45" t="s">
        <v>60</v>
      </c>
      <c r="P45" t="s">
        <v>18</v>
      </c>
    </row>
    <row r="46" spans="1:16" x14ac:dyDescent="0.3">
      <c r="A46" t="s">
        <v>134</v>
      </c>
      <c r="B46" t="s">
        <v>135</v>
      </c>
      <c r="C46" t="s">
        <v>24</v>
      </c>
      <c r="D46" t="str">
        <f t="shared" si="1"/>
        <v>adult</v>
      </c>
      <c r="E46">
        <v>31</v>
      </c>
      <c r="F46" t="s">
        <v>15</v>
      </c>
      <c r="G46" t="s">
        <v>16</v>
      </c>
      <c r="H46" t="s">
        <v>17</v>
      </c>
      <c r="I46">
        <v>970000</v>
      </c>
      <c r="J46">
        <v>1</v>
      </c>
      <c r="K46" t="s">
        <v>18</v>
      </c>
      <c r="L46" t="s">
        <v>19</v>
      </c>
      <c r="M46">
        <v>11</v>
      </c>
      <c r="N46" t="s">
        <v>20</v>
      </c>
      <c r="O46" t="s">
        <v>21</v>
      </c>
      <c r="P46" t="s">
        <v>18</v>
      </c>
    </row>
    <row r="47" spans="1:16" x14ac:dyDescent="0.3">
      <c r="A47" t="s">
        <v>136</v>
      </c>
      <c r="B47" t="s">
        <v>137</v>
      </c>
      <c r="C47" t="s">
        <v>14</v>
      </c>
      <c r="D47" t="str">
        <f t="shared" si="1"/>
        <v>adult</v>
      </c>
      <c r="E47">
        <v>35</v>
      </c>
      <c r="F47" t="s">
        <v>15</v>
      </c>
      <c r="G47" t="s">
        <v>16</v>
      </c>
      <c r="H47" t="s">
        <v>17</v>
      </c>
      <c r="I47">
        <v>1120000</v>
      </c>
      <c r="J47">
        <v>2</v>
      </c>
      <c r="K47" t="s">
        <v>18</v>
      </c>
      <c r="L47" t="s">
        <v>46</v>
      </c>
      <c r="M47">
        <v>14</v>
      </c>
      <c r="N47" t="s">
        <v>20</v>
      </c>
      <c r="O47" t="s">
        <v>21</v>
      </c>
      <c r="P47" t="s">
        <v>18</v>
      </c>
    </row>
    <row r="48" spans="1:16" x14ac:dyDescent="0.3">
      <c r="A48" t="s">
        <v>138</v>
      </c>
      <c r="B48" t="s">
        <v>139</v>
      </c>
      <c r="C48" t="s">
        <v>24</v>
      </c>
      <c r="D48" t="str">
        <f t="shared" si="1"/>
        <v>young</v>
      </c>
      <c r="E48">
        <v>24</v>
      </c>
      <c r="F48" t="s">
        <v>25</v>
      </c>
      <c r="G48" t="s">
        <v>16</v>
      </c>
      <c r="H48" t="s">
        <v>45</v>
      </c>
      <c r="I48">
        <v>360000</v>
      </c>
      <c r="J48">
        <v>0</v>
      </c>
      <c r="K48" t="s">
        <v>28</v>
      </c>
      <c r="L48" t="s">
        <v>36</v>
      </c>
      <c r="M48">
        <v>5</v>
      </c>
      <c r="N48" t="s">
        <v>30</v>
      </c>
      <c r="O48" t="s">
        <v>31</v>
      </c>
      <c r="P48" t="s">
        <v>28</v>
      </c>
    </row>
    <row r="49" spans="1:16" x14ac:dyDescent="0.3">
      <c r="A49" t="s">
        <v>140</v>
      </c>
      <c r="B49" t="s">
        <v>141</v>
      </c>
      <c r="C49" t="s">
        <v>14</v>
      </c>
      <c r="D49" t="str">
        <f t="shared" si="1"/>
        <v>adult</v>
      </c>
      <c r="E49">
        <v>29</v>
      </c>
      <c r="F49" t="s">
        <v>25</v>
      </c>
      <c r="G49" t="s">
        <v>16</v>
      </c>
      <c r="H49" t="s">
        <v>96</v>
      </c>
      <c r="I49">
        <v>610000</v>
      </c>
      <c r="J49">
        <v>0</v>
      </c>
      <c r="K49" t="s">
        <v>28</v>
      </c>
      <c r="L49" t="s">
        <v>29</v>
      </c>
      <c r="M49">
        <v>9</v>
      </c>
      <c r="N49" t="s">
        <v>20</v>
      </c>
      <c r="O49" t="s">
        <v>31</v>
      </c>
      <c r="P49" t="s">
        <v>18</v>
      </c>
    </row>
    <row r="50" spans="1:16" x14ac:dyDescent="0.3">
      <c r="A50" t="s">
        <v>142</v>
      </c>
      <c r="B50" t="s">
        <v>143</v>
      </c>
      <c r="C50" t="s">
        <v>24</v>
      </c>
      <c r="D50" t="str">
        <f t="shared" si="1"/>
        <v>old</v>
      </c>
      <c r="E50">
        <v>40</v>
      </c>
      <c r="F50" t="s">
        <v>15</v>
      </c>
      <c r="G50" t="s">
        <v>26</v>
      </c>
      <c r="H50" t="s">
        <v>27</v>
      </c>
      <c r="I50">
        <v>970000</v>
      </c>
      <c r="J50">
        <v>2</v>
      </c>
      <c r="K50" t="s">
        <v>18</v>
      </c>
      <c r="L50" t="s">
        <v>19</v>
      </c>
      <c r="M50">
        <v>19</v>
      </c>
      <c r="N50" t="s">
        <v>37</v>
      </c>
      <c r="O50" t="s">
        <v>60</v>
      </c>
      <c r="P50" t="s">
        <v>18</v>
      </c>
    </row>
    <row r="51" spans="1:16" x14ac:dyDescent="0.3">
      <c r="A51" t="s">
        <v>144</v>
      </c>
      <c r="B51" t="s">
        <v>145</v>
      </c>
      <c r="C51" t="s">
        <v>14</v>
      </c>
      <c r="D51" t="str">
        <f t="shared" si="1"/>
        <v>adult</v>
      </c>
      <c r="E51">
        <v>34</v>
      </c>
      <c r="F51" t="s">
        <v>15</v>
      </c>
      <c r="G51" t="s">
        <v>16</v>
      </c>
      <c r="H51" t="s">
        <v>17</v>
      </c>
      <c r="I51">
        <v>990000</v>
      </c>
      <c r="J51">
        <v>1</v>
      </c>
      <c r="K51" t="s">
        <v>18</v>
      </c>
      <c r="L51" t="s">
        <v>42</v>
      </c>
      <c r="M51">
        <v>12</v>
      </c>
      <c r="N51" t="s">
        <v>20</v>
      </c>
      <c r="O51" t="s">
        <v>21</v>
      </c>
      <c r="P5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8186-32FC-472B-A311-9F92962F39B5}">
  <dimension ref="A3:I38"/>
  <sheetViews>
    <sheetView topLeftCell="B30" workbookViewId="0">
      <selection activeCell="L40" sqref="L4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6" max="6" width="21.88671875" bestFit="1" customWidth="1"/>
    <col min="7" max="7" width="15.5546875" bestFit="1" customWidth="1"/>
    <col min="8" max="8" width="3.77734375" bestFit="1" customWidth="1"/>
    <col min="9" max="9" width="10.77734375" bestFit="1" customWidth="1"/>
  </cols>
  <sheetData>
    <row r="3" spans="1:9" x14ac:dyDescent="0.3">
      <c r="A3" s="3" t="s">
        <v>152</v>
      </c>
      <c r="B3" s="3" t="s">
        <v>153</v>
      </c>
    </row>
    <row r="4" spans="1:9" x14ac:dyDescent="0.3">
      <c r="A4" s="3" t="s">
        <v>150</v>
      </c>
      <c r="B4" t="s">
        <v>28</v>
      </c>
      <c r="C4" t="s">
        <v>18</v>
      </c>
      <c r="D4" t="s">
        <v>151</v>
      </c>
    </row>
    <row r="5" spans="1:9" x14ac:dyDescent="0.3">
      <c r="A5" s="4" t="s">
        <v>24</v>
      </c>
      <c r="B5" s="2">
        <v>7</v>
      </c>
      <c r="C5" s="2">
        <v>18</v>
      </c>
      <c r="D5" s="2">
        <v>25</v>
      </c>
    </row>
    <row r="6" spans="1:9" x14ac:dyDescent="0.3">
      <c r="A6" s="4" t="s">
        <v>14</v>
      </c>
      <c r="B6" s="2">
        <v>2</v>
      </c>
      <c r="C6" s="2">
        <v>23</v>
      </c>
      <c r="D6" s="2">
        <v>25</v>
      </c>
    </row>
    <row r="7" spans="1:9" x14ac:dyDescent="0.3">
      <c r="A7" s="4" t="s">
        <v>151</v>
      </c>
      <c r="B7" s="2">
        <v>9</v>
      </c>
      <c r="C7" s="2">
        <v>41</v>
      </c>
      <c r="D7" s="2">
        <v>50</v>
      </c>
    </row>
    <row r="8" spans="1:9" x14ac:dyDescent="0.3">
      <c r="F8" s="3" t="s">
        <v>152</v>
      </c>
      <c r="G8" s="3" t="s">
        <v>153</v>
      </c>
    </row>
    <row r="9" spans="1:9" x14ac:dyDescent="0.3">
      <c r="F9" s="3" t="s">
        <v>150</v>
      </c>
      <c r="G9" t="s">
        <v>28</v>
      </c>
      <c r="H9" t="s">
        <v>18</v>
      </c>
      <c r="I9" t="s">
        <v>151</v>
      </c>
    </row>
    <row r="10" spans="1:9" x14ac:dyDescent="0.3">
      <c r="F10" s="4" t="s">
        <v>154</v>
      </c>
      <c r="G10" s="2">
        <v>3</v>
      </c>
      <c r="H10" s="2">
        <v>26</v>
      </c>
      <c r="I10" s="2">
        <v>29</v>
      </c>
    </row>
    <row r="11" spans="1:9" x14ac:dyDescent="0.3">
      <c r="F11" s="4" t="s">
        <v>155</v>
      </c>
      <c r="G11" s="2"/>
      <c r="H11" s="2">
        <v>15</v>
      </c>
      <c r="I11" s="2">
        <v>15</v>
      </c>
    </row>
    <row r="12" spans="1:9" x14ac:dyDescent="0.3">
      <c r="F12" s="4" t="s">
        <v>156</v>
      </c>
      <c r="G12" s="2">
        <v>6</v>
      </c>
      <c r="H12" s="2"/>
      <c r="I12" s="2">
        <v>6</v>
      </c>
    </row>
    <row r="13" spans="1:9" x14ac:dyDescent="0.3">
      <c r="F13" s="4" t="s">
        <v>151</v>
      </c>
      <c r="G13" s="2">
        <v>9</v>
      </c>
      <c r="H13" s="2">
        <v>41</v>
      </c>
      <c r="I13" s="2">
        <v>50</v>
      </c>
    </row>
    <row r="18" spans="1:4" x14ac:dyDescent="0.3">
      <c r="A18" s="3" t="s">
        <v>152</v>
      </c>
      <c r="B18" s="3" t="s">
        <v>153</v>
      </c>
    </row>
    <row r="19" spans="1:4" x14ac:dyDescent="0.3">
      <c r="A19" s="3" t="s">
        <v>150</v>
      </c>
      <c r="B19" t="s">
        <v>28</v>
      </c>
      <c r="C19" t="s">
        <v>18</v>
      </c>
      <c r="D19" t="s">
        <v>151</v>
      </c>
    </row>
    <row r="20" spans="1:4" x14ac:dyDescent="0.3">
      <c r="A20" s="4">
        <v>4</v>
      </c>
      <c r="B20" s="2">
        <v>1</v>
      </c>
      <c r="C20" s="2"/>
      <c r="D20" s="2">
        <v>1</v>
      </c>
    </row>
    <row r="21" spans="1:4" x14ac:dyDescent="0.3">
      <c r="A21" s="4">
        <v>5</v>
      </c>
      <c r="B21" s="2">
        <v>3</v>
      </c>
      <c r="C21" s="2"/>
      <c r="D21" s="2">
        <v>3</v>
      </c>
    </row>
    <row r="22" spans="1:4" x14ac:dyDescent="0.3">
      <c r="A22" s="4">
        <v>6</v>
      </c>
      <c r="B22" s="2">
        <v>2</v>
      </c>
      <c r="C22" s="2"/>
      <c r="D22" s="2">
        <v>2</v>
      </c>
    </row>
    <row r="23" spans="1:4" x14ac:dyDescent="0.3">
      <c r="A23" s="4">
        <v>7</v>
      </c>
      <c r="B23" s="2">
        <v>2</v>
      </c>
      <c r="C23" s="2">
        <v>1</v>
      </c>
      <c r="D23" s="2">
        <v>3</v>
      </c>
    </row>
    <row r="24" spans="1:4" x14ac:dyDescent="0.3">
      <c r="A24" s="4">
        <v>8</v>
      </c>
      <c r="B24" s="2"/>
      <c r="C24" s="2">
        <v>3</v>
      </c>
      <c r="D24" s="2">
        <v>3</v>
      </c>
    </row>
    <row r="25" spans="1:4" x14ac:dyDescent="0.3">
      <c r="A25" s="4">
        <v>9</v>
      </c>
      <c r="B25" s="2"/>
      <c r="C25" s="2">
        <v>4</v>
      </c>
      <c r="D25" s="2">
        <v>4</v>
      </c>
    </row>
    <row r="26" spans="1:4" x14ac:dyDescent="0.3">
      <c r="A26" s="4">
        <v>10</v>
      </c>
      <c r="B26" s="2">
        <v>1</v>
      </c>
      <c r="C26" s="2">
        <v>4</v>
      </c>
      <c r="D26" s="2">
        <v>5</v>
      </c>
    </row>
    <row r="27" spans="1:4" x14ac:dyDescent="0.3">
      <c r="A27" s="4">
        <v>11</v>
      </c>
      <c r="B27" s="2"/>
      <c r="C27" s="2">
        <v>4</v>
      </c>
      <c r="D27" s="2">
        <v>4</v>
      </c>
    </row>
    <row r="28" spans="1:4" x14ac:dyDescent="0.3">
      <c r="A28" s="4">
        <v>12</v>
      </c>
      <c r="B28" s="2"/>
      <c r="C28" s="2">
        <v>4</v>
      </c>
      <c r="D28" s="2">
        <v>4</v>
      </c>
    </row>
    <row r="29" spans="1:4" x14ac:dyDescent="0.3">
      <c r="A29" s="4">
        <v>13</v>
      </c>
      <c r="B29" s="2"/>
      <c r="C29" s="2">
        <v>2</v>
      </c>
      <c r="D29" s="2">
        <v>2</v>
      </c>
    </row>
    <row r="30" spans="1:4" x14ac:dyDescent="0.3">
      <c r="A30" s="4">
        <v>14</v>
      </c>
      <c r="B30" s="2"/>
      <c r="C30" s="2">
        <v>3</v>
      </c>
      <c r="D30" s="2">
        <v>3</v>
      </c>
    </row>
    <row r="31" spans="1:4" x14ac:dyDescent="0.3">
      <c r="A31" s="4">
        <v>15</v>
      </c>
      <c r="B31" s="2"/>
      <c r="C31" s="2">
        <v>2</v>
      </c>
      <c r="D31" s="2">
        <v>2</v>
      </c>
    </row>
    <row r="32" spans="1:4" x14ac:dyDescent="0.3">
      <c r="A32" s="4">
        <v>16</v>
      </c>
      <c r="B32" s="2"/>
      <c r="C32" s="2">
        <v>2</v>
      </c>
      <c r="D32" s="2">
        <v>2</v>
      </c>
    </row>
    <row r="33" spans="1:4" x14ac:dyDescent="0.3">
      <c r="A33" s="4">
        <v>17</v>
      </c>
      <c r="B33" s="2"/>
      <c r="C33" s="2">
        <v>1</v>
      </c>
      <c r="D33" s="2">
        <v>1</v>
      </c>
    </row>
    <row r="34" spans="1:4" x14ac:dyDescent="0.3">
      <c r="A34" s="4">
        <v>18</v>
      </c>
      <c r="B34" s="2"/>
      <c r="C34" s="2">
        <v>4</v>
      </c>
      <c r="D34" s="2">
        <v>4</v>
      </c>
    </row>
    <row r="35" spans="1:4" x14ac:dyDescent="0.3">
      <c r="A35" s="4">
        <v>19</v>
      </c>
      <c r="B35" s="2"/>
      <c r="C35" s="2">
        <v>2</v>
      </c>
      <c r="D35" s="2">
        <v>2</v>
      </c>
    </row>
    <row r="36" spans="1:4" x14ac:dyDescent="0.3">
      <c r="A36" s="4">
        <v>20</v>
      </c>
      <c r="B36" s="2"/>
      <c r="C36" s="2">
        <v>3</v>
      </c>
      <c r="D36" s="2">
        <v>3</v>
      </c>
    </row>
    <row r="37" spans="1:4" x14ac:dyDescent="0.3">
      <c r="A37" s="4">
        <v>22</v>
      </c>
      <c r="B37" s="2"/>
      <c r="C37" s="2">
        <v>2</v>
      </c>
      <c r="D37" s="2">
        <v>2</v>
      </c>
    </row>
    <row r="38" spans="1:4" x14ac:dyDescent="0.3">
      <c r="A38" s="4" t="s">
        <v>151</v>
      </c>
      <c r="B38" s="2">
        <v>9</v>
      </c>
      <c r="C38" s="2">
        <v>41</v>
      </c>
      <c r="D38" s="2">
        <v>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2CE1-A260-439F-B0B9-E407A401E807}">
  <dimension ref="A1:Q6"/>
  <sheetViews>
    <sheetView showGridLines="0" tabSelected="1" zoomScale="79" workbookViewId="0">
      <selection activeCell="U17" sqref="U17"/>
    </sheetView>
  </sheetViews>
  <sheetFormatPr defaultRowHeight="14.4" x14ac:dyDescent="0.3"/>
  <sheetData>
    <row r="1" spans="1:17" x14ac:dyDescent="0.3">
      <c r="A1" s="5" t="s">
        <v>157</v>
      </c>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JAIN</dc:creator>
  <cp:lastModifiedBy>ISHITA JAIN</cp:lastModifiedBy>
  <dcterms:created xsi:type="dcterms:W3CDTF">2025-11-05T09:07:23Z</dcterms:created>
  <dcterms:modified xsi:type="dcterms:W3CDTF">2025-11-10T18:48:37Z</dcterms:modified>
</cp:coreProperties>
</file>